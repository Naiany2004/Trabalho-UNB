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updateLinks="always"/>
  <mc:AlternateContent xmlns:mc="http://schemas.openxmlformats.org/markup-compatibility/2006">
    <mc:Choice Requires="x15">
      <x15ac:absPath xmlns:x15ac="http://schemas.microsoft.com/office/spreadsheetml/2010/11/ac" url="D:\working\waccache\CP1PEPF000068A8\EXCELCNV\bc912928-131b-474b-a8b3-42b401b66ad8\"/>
    </mc:Choice>
  </mc:AlternateContent>
  <xr:revisionPtr revIDLastSave="0" documentId="8_{CE1E8AF3-CB32-4387-8B5E-2657C18373EF}" xr6:coauthVersionLast="47" xr6:coauthVersionMax="47" xr10:uidLastSave="{00000000-0000-0000-0000-000000000000}"/>
  <bookViews>
    <workbookView xWindow="-60" yWindow="-60" windowWidth="15480" windowHeight="11640" firstSheet="1" activeTab="6" xr2:uid="{00000000-000D-0000-FFFF-FFFF00000000}"/>
  </bookViews>
  <sheets>
    <sheet name="QUESTÃO 1 " sheetId="1" r:id="rId1"/>
    <sheet name="QUESTÃO 2" sheetId="9" r:id="rId2"/>
    <sheet name="Questão 03" sheetId="15" r:id="rId3"/>
    <sheet name="QUESTÃO 4" sheetId="11" r:id="rId4"/>
    <sheet name="QUESTÃO 5" sheetId="6" r:id="rId5"/>
    <sheet name="QUESTÃO 6" sheetId="7" r:id="rId6"/>
    <sheet name="QUESTÃO 7" sheetId="8" r:id="rId7"/>
    <sheet name="Questão 08" sheetId="16" r:id="rId8"/>
    <sheet name="QUESTÃO 9" sheetId="13" r:id="rId9"/>
    <sheet name="REFERÊNCIAS" sheetId="3" r:id="rId10"/>
  </sheets>
  <externalReferences>
    <externalReference r:id="rId11"/>
    <externalReference r:id="rId1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1" l="1"/>
  <c r="C23" i="11"/>
  <c r="C22" i="11"/>
  <c r="G25" i="1"/>
  <c r="D18" i="1"/>
  <c r="E17" i="1"/>
  <c r="I3" i="1"/>
  <c r="I17" i="1"/>
  <c r="I5" i="1"/>
  <c r="G17" i="1"/>
  <c r="D50" i="16"/>
  <c r="E49" i="16"/>
  <c r="F49" i="16" s="1"/>
  <c r="D36" i="16"/>
  <c r="E35" i="16"/>
  <c r="F35" i="16" s="1"/>
  <c r="D21" i="16"/>
  <c r="E20" i="16"/>
  <c r="F20" i="16" s="1"/>
  <c r="D7" i="16"/>
  <c r="E6" i="16"/>
  <c r="F6" i="16" s="1"/>
  <c r="I4" i="1"/>
  <c r="I6" i="1"/>
  <c r="I7" i="1"/>
  <c r="I8" i="1"/>
  <c r="I9" i="1"/>
  <c r="I10" i="1"/>
  <c r="I11" i="1"/>
  <c r="I12" i="1"/>
  <c r="I13" i="1"/>
  <c r="F6" i="1"/>
  <c r="F7" i="1"/>
  <c r="F8" i="1"/>
  <c r="F9" i="1"/>
  <c r="F10" i="1"/>
  <c r="F11" i="1"/>
  <c r="F12" i="1"/>
  <c r="F5" i="1"/>
  <c r="F4" i="1"/>
  <c r="E5" i="1"/>
  <c r="E6" i="1"/>
  <c r="E7" i="1"/>
  <c r="E8" i="1"/>
  <c r="E9" i="1"/>
  <c r="E10" i="1"/>
  <c r="E11" i="1"/>
  <c r="E12" i="1"/>
  <c r="E13" i="1"/>
  <c r="E3" i="1"/>
  <c r="E4" i="1"/>
  <c r="F3" i="1"/>
  <c r="G5" i="1"/>
  <c r="G3" i="1"/>
  <c r="D4" i="1"/>
  <c r="D5" i="1"/>
  <c r="D6" i="1"/>
  <c r="D7" i="1"/>
  <c r="D8" i="1"/>
  <c r="D9" i="1"/>
  <c r="D10" i="1"/>
  <c r="D11" i="1"/>
  <c r="D12" i="1"/>
  <c r="D13" i="1"/>
  <c r="L5" i="15"/>
  <c r="I6" i="8"/>
  <c r="I7" i="8"/>
  <c r="I8" i="8"/>
  <c r="I9" i="8"/>
  <c r="I10" i="8"/>
  <c r="I3" i="8"/>
  <c r="I4" i="8"/>
  <c r="I5" i="8"/>
  <c r="H10" i="8"/>
  <c r="H9" i="8"/>
  <c r="H8" i="8"/>
  <c r="H7" i="8"/>
  <c r="H6" i="8"/>
  <c r="H5" i="8"/>
  <c r="H4" i="8"/>
  <c r="H3" i="8"/>
  <c r="C4" i="8"/>
  <c r="C5" i="8"/>
  <c r="C6" i="8"/>
  <c r="C7" i="8"/>
  <c r="C8" i="8"/>
  <c r="C9" i="8"/>
  <c r="C3" i="8"/>
  <c r="B9" i="8"/>
  <c r="B8" i="8"/>
  <c r="B7" i="8"/>
  <c r="B6" i="8"/>
  <c r="B5" i="8"/>
  <c r="B4" i="8"/>
  <c r="B3" i="8"/>
  <c r="B15" i="11"/>
  <c r="C15" i="11"/>
  <c r="B16" i="11"/>
  <c r="C16" i="11"/>
  <c r="B17" i="11"/>
  <c r="C17" i="11"/>
  <c r="B18" i="11"/>
  <c r="C18" i="11"/>
  <c r="B19" i="11"/>
  <c r="C19" i="11"/>
  <c r="B20" i="11"/>
  <c r="C20" i="11"/>
  <c r="B21" i="11"/>
  <c r="C21" i="11"/>
  <c r="B22" i="11"/>
  <c r="B23" i="11"/>
  <c r="B24" i="11"/>
  <c r="B25" i="11"/>
  <c r="C25" i="11"/>
  <c r="B16" i="9"/>
  <c r="B17" i="9"/>
  <c r="B18" i="9"/>
  <c r="B19" i="9"/>
  <c r="B20" i="9"/>
  <c r="B21" i="9"/>
  <c r="B22" i="9"/>
  <c r="B23" i="9"/>
  <c r="B24" i="9"/>
  <c r="B25" i="9"/>
  <c r="B26" i="9"/>
  <c r="G26" i="1"/>
  <c r="G24" i="1"/>
  <c r="G23" i="1"/>
  <c r="G22" i="1"/>
  <c r="G21" i="1"/>
  <c r="G20" i="1"/>
  <c r="G19" i="1"/>
  <c r="G18" i="1"/>
  <c r="J3" i="8"/>
  <c r="L4" i="7"/>
  <c r="L5" i="7"/>
  <c r="L6" i="7"/>
  <c r="L7" i="7"/>
  <c r="L8" i="7"/>
  <c r="L9" i="7"/>
  <c r="L10" i="7"/>
  <c r="L11" i="7"/>
  <c r="L3" i="7"/>
  <c r="D4" i="7"/>
  <c r="D5" i="7"/>
  <c r="D6" i="7"/>
  <c r="D7" i="7"/>
  <c r="D8" i="7"/>
  <c r="D9" i="7"/>
  <c r="D10" i="7"/>
  <c r="D3" i="7"/>
  <c r="D11" i="6"/>
  <c r="D3" i="6"/>
  <c r="D19" i="1" l="1"/>
  <c r="E18" i="1"/>
  <c r="I18" i="1" s="1"/>
  <c r="D8" i="16"/>
  <c r="E7" i="16"/>
  <c r="F7" i="16" s="1"/>
  <c r="D22" i="16"/>
  <c r="E21" i="16"/>
  <c r="F21" i="16" s="1"/>
  <c r="D37" i="16"/>
  <c r="E36" i="16"/>
  <c r="F36" i="16" s="1"/>
  <c r="D51" i="16"/>
  <c r="E50" i="16"/>
  <c r="F50" i="16" s="1"/>
  <c r="G9" i="1"/>
  <c r="D20" i="1" l="1"/>
  <c r="E19" i="1"/>
  <c r="I19" i="1" s="1"/>
  <c r="D52" i="16"/>
  <c r="E51" i="16"/>
  <c r="F51" i="16" s="1"/>
  <c r="D38" i="16"/>
  <c r="E37" i="16"/>
  <c r="F37" i="16" s="1"/>
  <c r="D23" i="16"/>
  <c r="E22" i="16"/>
  <c r="F22" i="16" s="1"/>
  <c r="D9" i="16"/>
  <c r="E8" i="16"/>
  <c r="F8" i="16" s="1"/>
  <c r="G8" i="1"/>
  <c r="D21" i="1" l="1"/>
  <c r="E20" i="1"/>
  <c r="I20" i="1" s="1"/>
  <c r="D10" i="16"/>
  <c r="E9" i="16"/>
  <c r="F9" i="16" s="1"/>
  <c r="D24" i="16"/>
  <c r="E23" i="16"/>
  <c r="F23" i="16" s="1"/>
  <c r="D39" i="16"/>
  <c r="E38" i="16"/>
  <c r="F38" i="16" s="1"/>
  <c r="D53" i="16"/>
  <c r="E52" i="16"/>
  <c r="F52" i="16" s="1"/>
  <c r="G10" i="1"/>
  <c r="G7" i="1"/>
  <c r="D22" i="1" l="1"/>
  <c r="E21" i="1"/>
  <c r="I21" i="1" s="1"/>
  <c r="D54" i="16"/>
  <c r="E53" i="16"/>
  <c r="F53" i="16" s="1"/>
  <c r="D40" i="16"/>
  <c r="E39" i="16"/>
  <c r="F39" i="16" s="1"/>
  <c r="D25" i="16"/>
  <c r="E24" i="16"/>
  <c r="F24" i="16" s="1"/>
  <c r="D11" i="16"/>
  <c r="E10" i="16"/>
  <c r="F10" i="16" s="1"/>
  <c r="G11" i="1"/>
  <c r="G6" i="1"/>
  <c r="D23" i="1" l="1"/>
  <c r="E22" i="1"/>
  <c r="I22" i="1" s="1"/>
  <c r="D12" i="16"/>
  <c r="E11" i="16"/>
  <c r="F11" i="16" s="1"/>
  <c r="D26" i="16"/>
  <c r="E25" i="16"/>
  <c r="F25" i="16" s="1"/>
  <c r="D41" i="16"/>
  <c r="E40" i="16"/>
  <c r="F40" i="16" s="1"/>
  <c r="D55" i="16"/>
  <c r="E54" i="16"/>
  <c r="F54" i="16" s="1"/>
  <c r="G12" i="1"/>
  <c r="D24" i="1" l="1"/>
  <c r="E23" i="1"/>
  <c r="I23" i="1" s="1"/>
  <c r="D56" i="16"/>
  <c r="E55" i="16"/>
  <c r="F55" i="16" s="1"/>
  <c r="D42" i="16"/>
  <c r="E41" i="16"/>
  <c r="F41" i="16" s="1"/>
  <c r="D27" i="16"/>
  <c r="E26" i="16"/>
  <c r="F26" i="16" s="1"/>
  <c r="D13" i="16"/>
  <c r="E12" i="16"/>
  <c r="F12" i="16" s="1"/>
  <c r="G4" i="1"/>
  <c r="D3" i="8"/>
  <c r="D25" i="1" l="1"/>
  <c r="E24" i="1"/>
  <c r="I24" i="1" s="1"/>
  <c r="D14" i="16"/>
  <c r="E13" i="16"/>
  <c r="F13" i="16" s="1"/>
  <c r="D28" i="16"/>
  <c r="E27" i="16"/>
  <c r="F27" i="16" s="1"/>
  <c r="D43" i="16"/>
  <c r="E42" i="16"/>
  <c r="F42" i="16" s="1"/>
  <c r="D57" i="16"/>
  <c r="E56" i="16"/>
  <c r="F56" i="16" s="1"/>
  <c r="D26" i="1" l="1"/>
  <c r="E25" i="1"/>
  <c r="I25" i="1" s="1"/>
  <c r="D58" i="16"/>
  <c r="E57" i="16"/>
  <c r="F57" i="16" s="1"/>
  <c r="D44" i="16"/>
  <c r="E43" i="16"/>
  <c r="F43" i="16" s="1"/>
  <c r="D29" i="16"/>
  <c r="E28" i="16"/>
  <c r="F28" i="16" s="1"/>
  <c r="D15" i="16"/>
  <c r="E14" i="16"/>
  <c r="F14" i="16" s="1"/>
  <c r="D27" i="1" l="1"/>
  <c r="E27" i="1" s="1"/>
  <c r="I27" i="1" s="1"/>
  <c r="E26" i="1"/>
  <c r="I26" i="1" s="1"/>
  <c r="D16" i="16"/>
  <c r="E16" i="16" s="1"/>
  <c r="F16" i="16" s="1"/>
  <c r="E15" i="16"/>
  <c r="F15" i="16" s="1"/>
  <c r="D30" i="16"/>
  <c r="E30" i="16" s="1"/>
  <c r="F30" i="16" s="1"/>
  <c r="E29" i="16"/>
  <c r="F29" i="16" s="1"/>
  <c r="D45" i="16"/>
  <c r="E45" i="16" s="1"/>
  <c r="F45" i="16" s="1"/>
  <c r="E44" i="16"/>
  <c r="F44" i="16" s="1"/>
  <c r="D59" i="16"/>
  <c r="E59" i="16" s="1"/>
  <c r="F59" i="16" s="1"/>
  <c r="E58" i="16"/>
  <c r="F58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tc={94AA16E3-9297-4099-BFE6-280B6D02676D}</author>
    <author>tc={56312E81-A124-4C71-9D51-70407AC09418}</author>
    <author>tc={F18FBD90-3487-4C28-9DD4-D6A3F4C64AC9}</author>
    <author>tc={28F92B66-06EC-4498-92B6-3A754D926B96}</author>
  </authors>
  <commentList>
    <comment ref="B2" authorId="0" shapeId="0" xr:uid="{94AA16E3-9297-4099-BFE6-280B6D02676D}">
      <text>
        <t>[Threaded comment]
Your version of Excel allows you to read this threaded comment; however, any edits to it will get removed if the file is opened in a newer version of Excel. Learn more: https://go.microsoft.com/fwlink/?linkid=870924
Comment:
    Os dados de receita foram obtidos no Siconfi/STN, na seção Contas Anuais, considerando a receita orçamentária total arrecadada.</t>
      </text>
    </comment>
    <comment ref="H12" authorId="1" shapeId="0" xr:uid="{56312E81-A124-4C71-9D51-70407AC0941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Valor estimado pela IA</t>
      </text>
    </comment>
    <comment ref="B16" authorId="2" shapeId="0" xr:uid="{F18FBD90-3487-4C28-9DD4-D6A3F4C64AC9}">
      <text>
        <t>[Threaded comment]
Your version of Excel allows you to read this threaded comment; however, any edits to it will get removed if the file is opened in a newer version of Excel. Learn more: https://go.microsoft.com/fwlink/?linkid=870924
Comment:
    Os dados de receita foram obtidos no Siconfi/STN, na seção Contas Anuais, considerando a receita orçamentária total arrecadada.</t>
      </text>
    </comment>
    <comment ref="H26" authorId="3" shapeId="0" xr:uid="{28F92B66-06EC-4498-92B6-3A754D926B9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Valor estimado pela IA</t>
      </text>
    </comment>
  </commentList>
</comments>
</file>

<file path=xl/sharedStrings.xml><?xml version="1.0" encoding="utf-8"?>
<sst xmlns="http://schemas.openxmlformats.org/spreadsheetml/2006/main" count="192" uniqueCount="112">
  <si>
    <t>Sete Lagoas/MG</t>
  </si>
  <si>
    <t>Ano</t>
  </si>
  <si>
    <t>RECEITA BRUTA EM MILHÕES</t>
  </si>
  <si>
    <t>IPCA (%)</t>
  </si>
  <si>
    <t>IPCA ACUMULADO (base 2014=100)</t>
  </si>
  <si>
    <t>RECEITA REAL EM MILHÕES</t>
  </si>
  <si>
    <t>PIB EM MILHÕES</t>
  </si>
  <si>
    <t>Receita/PIB</t>
  </si>
  <si>
    <t>População</t>
  </si>
  <si>
    <t>Receita per capita</t>
  </si>
  <si>
    <t>CONTA</t>
  </si>
  <si>
    <t>Receita Nominal</t>
  </si>
  <si>
    <t>É o valor da receita original, exatamente como foi coletado nas bases oficiais</t>
  </si>
  <si>
    <t>É a inflação anual medida pelo IBGE.</t>
  </si>
  <si>
    <t>IPCA (base 2024=100)</t>
  </si>
  <si>
    <t>Aqui eu transformei o índice de inflação em uma base comum (2024 = 100), todos os anos são ajustados como se estivessem no valor de 2024</t>
  </si>
  <si>
    <t>Receita Real</t>
  </si>
  <si>
    <t>Corrige a receita pela inflação</t>
  </si>
  <si>
    <t>PIB</t>
  </si>
  <si>
    <t>Valor do Produto Interno Bruto municipal - IBGE</t>
  </si>
  <si>
    <t>Quanto o governo arrecada em relação à economia</t>
  </si>
  <si>
    <t>Dados populacionais - IBGE</t>
  </si>
  <si>
    <t>Quanto, em média, o município arrecada por habitante</t>
  </si>
  <si>
    <t>2024 → PIB: não disponível (IBGE)</t>
  </si>
  <si>
    <t>Itaboraí/RJ </t>
  </si>
  <si>
    <t>ANO</t>
  </si>
  <si>
    <t>O índice foi construído a partir do IPCA acumulado anual do IBGE, convertendo-se para uma base 2024 = 100 por meio de deflação recursiva.</t>
  </si>
  <si>
    <t>MALÁSIA</t>
  </si>
  <si>
    <t xml:space="preserve">PIB Per Capita (US$) </t>
  </si>
  <si>
    <t>US$ 338,07 bilhões</t>
  </si>
  <si>
    <t>US$ 301,36 bilhões</t>
  </si>
  <si>
    <t>US$ 301,26 bilhões</t>
  </si>
  <si>
    <t xml:space="preserve"> US$ 319,11 bilhões</t>
  </si>
  <si>
    <t xml:space="preserve"> US$ 358,79 bilhões</t>
  </si>
  <si>
    <t xml:space="preserve"> US$ 365,18 bilhões</t>
  </si>
  <si>
    <t xml:space="preserve"> US$ 337,46 bilhões</t>
  </si>
  <si>
    <t xml:space="preserve"> US$ 373,78 bilhões</t>
  </si>
  <si>
    <t>US$ 407,83 bilhões</t>
  </si>
  <si>
    <t xml:space="preserve"> US$ 399,95 bilhões</t>
  </si>
  <si>
    <t xml:space="preserve"> US$ 422,23 bilhões</t>
  </si>
  <si>
    <t>PIB Per Capita (US$ )</t>
  </si>
  <si>
    <t>Consulta</t>
  </si>
  <si>
    <t>Siconfi</t>
  </si>
  <si>
    <t>RECEITAS CORRENTES</t>
  </si>
  <si>
    <t>RECEITAS DE CAPITAL</t>
  </si>
  <si>
    <t>Total</t>
  </si>
  <si>
    <t>Tributária</t>
  </si>
  <si>
    <t>Contribuições</t>
  </si>
  <si>
    <t>Patrimonial</t>
  </si>
  <si>
    <t>Serviços</t>
  </si>
  <si>
    <t>Transferências</t>
  </si>
  <si>
    <t>Outras</t>
  </si>
  <si>
    <t>Crédito</t>
  </si>
  <si>
    <t>Alienação</t>
  </si>
  <si>
    <t>Capital</t>
  </si>
  <si>
    <t xml:space="preserve">Sete lagoas/MG </t>
  </si>
  <si>
    <t>Itaboraí/RJ</t>
  </si>
  <si>
    <t>SETE LAGOAS</t>
  </si>
  <si>
    <t>ITABORAÍ</t>
  </si>
  <si>
    <t>Receita Sete Lagoas</t>
  </si>
  <si>
    <t>Despesa Sete Lagoas</t>
  </si>
  <si>
    <t>Receita Itaboraí</t>
  </si>
  <si>
    <t>Despesa Itaboraí</t>
  </si>
  <si>
    <t>SETE LAGOAS - MG</t>
  </si>
  <si>
    <t>Gasto Saúde (R$)</t>
  </si>
  <si>
    <t>Mortalidade Infantil</t>
  </si>
  <si>
    <t>Correlação</t>
  </si>
  <si>
    <t>http://tabnet.datasus.gov.br/cgi/deftohtm.exe?sim/cnv/inf10mg.def</t>
  </si>
  <si>
    <t>correlação negativa moderada</t>
  </si>
  <si>
    <t>https://siconfi.tesouro.gov.br/siconfi/pages/public/consulta_finbra/finbra_list.jsf</t>
  </si>
  <si>
    <t>ITABORAÍ - RJ</t>
  </si>
  <si>
    <t>correlação fraca</t>
  </si>
  <si>
    <t xml:space="preserve">SETE LAGOAS - MG </t>
  </si>
  <si>
    <t>Receita Tributária</t>
  </si>
  <si>
    <t>Receita Total</t>
  </si>
  <si>
    <t>Carga (proxy)</t>
  </si>
  <si>
    <t>Receita Tributária (R$)</t>
  </si>
  <si>
    <t>Receita Total (R$)</t>
  </si>
  <si>
    <t>Carga Tributária (%)</t>
  </si>
  <si>
    <t xml:space="preserve">ITABORAÍ - RJ </t>
  </si>
  <si>
    <t>Receita (R$)</t>
  </si>
  <si>
    <t>PIB (R$)</t>
  </si>
  <si>
    <t>b1</t>
  </si>
  <si>
    <t>Histórico do IPCA</t>
  </si>
  <si>
    <t>RECEITA PER CAPITA (R$/hab)</t>
  </si>
  <si>
    <t>Minas Gerais/BR</t>
  </si>
  <si>
    <t>Rio de Janeiro/BR</t>
  </si>
  <si>
    <t>Downloads | IBGE</t>
  </si>
  <si>
    <t>Censo 2022</t>
  </si>
  <si>
    <t>POPULAÇÃO</t>
  </si>
  <si>
    <t>MINAS GERAIS</t>
  </si>
  <si>
    <t>RIO DE JANEIRO</t>
  </si>
  <si>
    <t>ESTIMADO</t>
  </si>
  <si>
    <t xml:space="preserve">9) Análise uma falha de mercado e como o gasto público atua (com dados reais). 
Uma importante falha de mercado presente na área da saúde é a externalidade positiva. Nesse caso, os benefícios gerados pelo consumo de serviços de saúde não se limitam apenas ao indivíduo atendido, mas se estendem a toda a sociedade. Por exemplo, a vacinação e o atendimento básico reduzem a propagação de doenças, beneficiando inclusive pessoas que não utilizaram diretamente o serviço.  
No entanto, como os agentes privados consideram apenas seus benefícios individuais, o mercado tende a ofertar menos serviços de saúde do que o socialmente desejável, caracterizando uma falha de mercado. 
Nesse contexto, o gasto público atua corrigindo essa falha por meio da oferta de serviços de saúde e investimentos no sistema público, como o SUS. Evidências empíricas mostram que maiores investimentos em saúde estão associados à redução da mortalidade infantil, indicador amplamente utilizado para medir o bem-estar social. Estudos no Brasil demonstram que municípios com maior gasto em saúde e melhores condições socioeconômicas apresentam menores taxas de mortalidade infantil.  
Utilizando os dados analisados neste trabalho, observa-se essa relação nos municípios de Sete Lagoas (MG) e Itaboraí (RJ). Em Sete Lagoas, o aumento do gasto com saúde de aproximadamente R$ 162 milhões (2014) para R$ 287 milhões (2020) foi acompanhado pela queda da mortalidade infantil de 29 para 23 óbitos. Em Itaboraí, apesar de oscilações, o aumento do gasto em 2020 também coincidiu com uma redução significativa da mortalidade infantil de 44 para 26 óbitos. 
Esses resultados indicam uma correlação negativa entre gasto público em saúde e mortalidade infantil, evidenciando que a atuação do Estado contribui para corrigir a falha de mercado, promovendo maior eficiência social e melhoria das condições de vida da população. 
Portanto, a intervenção do Estado é essencial para garantir a provisão adequada de bens públicos e corrigir ineficiências do mercado, especialmente em setores essenciais como a saúde. </t>
  </si>
  <si>
    <t xml:space="preserve">REFERÊNCIAS </t>
  </si>
  <si>
    <t xml:space="preserve">Link das referências, serve para os dois Municípios </t>
  </si>
  <si>
    <t>Título</t>
  </si>
  <si>
    <t>Link</t>
  </si>
  <si>
    <t>Receita Nominal:</t>
  </si>
  <si>
    <t>https://siconfi.tesouro.gov.br/siconfi/index.jsf</t>
  </si>
  <si>
    <t>IPCA (%):</t>
  </si>
  <si>
    <t>https://sidra.ibge.gov.br/pesquisa/snipc/ipca/tabelas/brasil/dezembro-2020</t>
  </si>
  <si>
    <t>Receita Real:</t>
  </si>
  <si>
    <t>PIB:</t>
  </si>
  <si>
    <t>https://sidra.ibge.gov.br/pesquisa/pib-munic/tabelas</t>
  </si>
  <si>
    <t>População:</t>
  </si>
  <si>
    <t>https://sidra.ibge.gov.br/pesquisa/estimapop/tabelas</t>
  </si>
  <si>
    <t>Despesas:</t>
  </si>
  <si>
    <t xml:space="preserve">Gasto Saúde </t>
  </si>
  <si>
    <t>https://data.worldbank.org/indicator/NY.GDP.MKTP.CD?end=2024&amp;locations=MY&amp;start=2014</t>
  </si>
  <si>
    <t>https://data.worldbank.org/indicator/SP.POP.TOTL?locations=MY</t>
  </si>
  <si>
    <t>https://data.worldbank.org/indicator/NY.GDP.PCAP.CD?end=2024&amp;locations=MY&amp;start=2014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</si>
</sst>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R$&quot;\ #,##0;[Red]\-&quot;R$&quot;\ #,##0"/>
    <numFmt numFmtId="44" formatCode="_-&quot;R$&quot;\ * #,##0.00_-;\-&quot;R$&quot;\ * #,##0.00_-;_-&quot;R$&quot;\ * &quot;-&quot;??_-;_-@_-"/>
    <numFmt numFmtId="164" formatCode="0.000"/>
    <numFmt numFmtId="165" formatCode="_-[$US$-3009]* #,##0.00_-;\-[$US$-3009]* #,##0.00_-;_-[$US$-3009]* &quot;-&quot;??_-;_-@_-"/>
    <numFmt numFmtId="166" formatCode="_-* #,##0.000_-;\-* #,##0.000_-;_-* &quot;-&quot;??_-;_-@_-"/>
    <numFmt numFmtId="167" formatCode="0.0"/>
  </numFmts>
  <fonts count="16">
    <font>
      <sz val="11"/>
      <color theme="1"/>
      <name val="Calibri"/>
      <family val="2"/>
      <scheme val="minor"/>
    </font>
    <font>
      <sz val="11"/>
      <color theme="1"/>
      <name val="Aptos Narrow"/>
      <charset val="1"/>
    </font>
    <font>
      <sz val="11"/>
      <color rgb="FF006CBE"/>
      <name val="Consolas"/>
      <charset val="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Aptos Narrow"/>
      <charset val="1"/>
    </font>
    <font>
      <sz val="10"/>
      <color rgb="FF000000"/>
      <name val="Trebuchet MS"/>
      <charset val="1"/>
    </font>
    <font>
      <b/>
      <sz val="11"/>
      <color theme="0"/>
      <name val="Calibri"/>
      <family val="2"/>
      <scheme val="minor"/>
    </font>
    <font>
      <sz val="11"/>
      <color theme="1"/>
      <name val="Consolas"/>
      <charset val="1"/>
    </font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0"/>
      <name val="WordVisi_MSFontService"/>
      <charset val="1"/>
    </font>
    <font>
      <b/>
      <sz val="12"/>
      <color rgb="FF000000"/>
      <name val="Times New Roman"/>
      <charset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5F6F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19">
    <xf numFmtId="0" fontId="0" fillId="0" borderId="0" xfId="0"/>
    <xf numFmtId="44" fontId="0" fillId="0" borderId="0" xfId="0" applyNumberFormat="1"/>
    <xf numFmtId="10" fontId="0" fillId="0" borderId="0" xfId="0" applyNumberFormat="1"/>
    <xf numFmtId="0" fontId="0" fillId="0" borderId="1" xfId="0" applyBorder="1"/>
    <xf numFmtId="44" fontId="0" fillId="0" borderId="1" xfId="0" applyNumberFormat="1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44" fontId="0" fillId="0" borderId="1" xfId="0" applyNumberFormat="1" applyBorder="1" applyAlignment="1">
      <alignment horizontal="center"/>
    </xf>
    <xf numFmtId="44" fontId="0" fillId="2" borderId="1" xfId="0" applyNumberFormat="1" applyFill="1" applyBorder="1" applyAlignment="1">
      <alignment horizontal="center"/>
    </xf>
    <xf numFmtId="0" fontId="2" fillId="0" borderId="0" xfId="0" applyFont="1"/>
    <xf numFmtId="2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165" fontId="0" fillId="0" borderId="0" xfId="0" applyNumberFormat="1"/>
    <xf numFmtId="165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4" fontId="0" fillId="0" borderId="1" xfId="0" applyNumberFormat="1" applyBorder="1" applyAlignment="1">
      <alignment horizontal="center"/>
    </xf>
    <xf numFmtId="0" fontId="3" fillId="0" borderId="1" xfId="0" applyFont="1" applyBorder="1"/>
    <xf numFmtId="4" fontId="0" fillId="0" borderId="1" xfId="0" applyNumberFormat="1" applyBorder="1"/>
    <xf numFmtId="0" fontId="4" fillId="0" borderId="0" xfId="1"/>
    <xf numFmtId="0" fontId="4" fillId="0" borderId="1" xfId="1" applyBorder="1"/>
    <xf numFmtId="0" fontId="5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6" fillId="4" borderId="7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6" fillId="2" borderId="2" xfId="0" applyFont="1" applyFill="1" applyBorder="1" applyAlignment="1">
      <alignment wrapText="1"/>
    </xf>
    <xf numFmtId="3" fontId="0" fillId="0" borderId="1" xfId="0" applyNumberFormat="1" applyBorder="1" applyAlignment="1">
      <alignment horizontal="center"/>
    </xf>
    <xf numFmtId="9" fontId="0" fillId="0" borderId="1" xfId="0" quotePrefix="1" applyNumberFormat="1" applyBorder="1" applyAlignment="1">
      <alignment horizontal="center"/>
    </xf>
    <xf numFmtId="6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6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4" fillId="0" borderId="0" xfId="4"/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2" fontId="0" fillId="0" borderId="10" xfId="2" applyNumberFormat="1" applyFont="1" applyBorder="1" applyAlignment="1">
      <alignment horizontal="center"/>
    </xf>
    <xf numFmtId="2" fontId="0" fillId="0" borderId="10" xfId="2" applyNumberFormat="1" applyFont="1" applyBorder="1"/>
    <xf numFmtId="2" fontId="0" fillId="0" borderId="10" xfId="0" applyNumberFormat="1" applyBorder="1"/>
    <xf numFmtId="44" fontId="0" fillId="0" borderId="10" xfId="0" applyNumberFormat="1" applyBorder="1"/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2" fontId="0" fillId="0" borderId="1" xfId="2" applyNumberFormat="1" applyFont="1" applyBorder="1" applyAlignment="1">
      <alignment horizontal="center"/>
    </xf>
    <xf numFmtId="2" fontId="0" fillId="0" borderId="1" xfId="2" applyNumberFormat="1" applyFont="1" applyBorder="1"/>
    <xf numFmtId="164" fontId="0" fillId="0" borderId="1" xfId="2" applyNumberFormat="1" applyFont="1" applyBorder="1"/>
    <xf numFmtId="0" fontId="0" fillId="0" borderId="0" xfId="0" applyAlignment="1">
      <alignment horizontal="center" vertical="center"/>
    </xf>
    <xf numFmtId="44" fontId="0" fillId="0" borderId="0" xfId="2" applyFont="1" applyAlignment="1">
      <alignment horizontal="center"/>
    </xf>
    <xf numFmtId="44" fontId="0" fillId="0" borderId="0" xfId="2" applyFont="1"/>
    <xf numFmtId="44" fontId="3" fillId="0" borderId="9" xfId="2" applyFont="1" applyBorder="1" applyAlignment="1">
      <alignment horizontal="center" vertical="center" wrapText="1"/>
    </xf>
    <xf numFmtId="2" fontId="0" fillId="0" borderId="9" xfId="2" applyNumberFormat="1" applyFont="1" applyBorder="1" applyAlignment="1">
      <alignment horizontal="center"/>
    </xf>
    <xf numFmtId="167" fontId="0" fillId="0" borderId="12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0" fontId="0" fillId="0" borderId="9" xfId="3" applyNumberFormat="1" applyFont="1" applyBorder="1" applyAlignment="1">
      <alignment horizontal="center" vertical="center" wrapText="1"/>
    </xf>
    <xf numFmtId="10" fontId="12" fillId="0" borderId="9" xfId="3" applyNumberFormat="1" applyFont="1" applyBorder="1" applyAlignment="1">
      <alignment horizontal="center"/>
    </xf>
    <xf numFmtId="10" fontId="0" fillId="0" borderId="9" xfId="0" applyNumberFormat="1" applyBorder="1" applyAlignment="1">
      <alignment horizontal="center" vertical="center" wrapText="1"/>
    </xf>
    <xf numFmtId="2" fontId="0" fillId="0" borderId="11" xfId="2" applyNumberFormat="1" applyFont="1" applyBorder="1" applyAlignment="1">
      <alignment horizontal="center"/>
    </xf>
    <xf numFmtId="10" fontId="0" fillId="0" borderId="0" xfId="3" applyNumberFormat="1" applyFont="1"/>
    <xf numFmtId="2" fontId="0" fillId="0" borderId="11" xfId="0" applyNumberFormat="1" applyBorder="1" applyAlignment="1">
      <alignment horizontal="center"/>
    </xf>
    <xf numFmtId="10" fontId="0" fillId="0" borderId="0" xfId="0" applyNumberFormat="1" applyAlignment="1">
      <alignment horizontal="center" vertical="center" wrapText="1"/>
    </xf>
    <xf numFmtId="10" fontId="12" fillId="0" borderId="0" xfId="3" applyNumberFormat="1" applyFont="1" applyBorder="1" applyAlignment="1">
      <alignment horizontal="center"/>
    </xf>
    <xf numFmtId="2" fontId="0" fillId="0" borderId="0" xfId="2" applyNumberFormat="1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2" fontId="0" fillId="0" borderId="9" xfId="2" applyNumberFormat="1" applyFont="1" applyBorder="1" applyAlignment="1">
      <alignment horizontal="center" vertical="center"/>
    </xf>
    <xf numFmtId="0" fontId="13" fillId="0" borderId="0" xfId="0" applyFont="1"/>
    <xf numFmtId="0" fontId="3" fillId="0" borderId="0" xfId="0" applyFont="1" applyAlignment="1">
      <alignment horizontal="center" vertical="center"/>
    </xf>
    <xf numFmtId="10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4" fontId="0" fillId="2" borderId="5" xfId="0" applyNumberFormat="1" applyFill="1" applyBorder="1" applyAlignment="1">
      <alignment horizontal="center"/>
    </xf>
    <xf numFmtId="0" fontId="9" fillId="0" borderId="1" xfId="0" applyFont="1" applyBorder="1"/>
    <xf numFmtId="0" fontId="8" fillId="6" borderId="1" xfId="0" applyFon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3" fillId="0" borderId="2" xfId="0" applyFont="1" applyBorder="1"/>
    <xf numFmtId="0" fontId="0" fillId="6" borderId="1" xfId="0" applyFill="1" applyBorder="1"/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/>
    <xf numFmtId="0" fontId="7" fillId="5" borderId="1" xfId="0" applyFont="1" applyFill="1" applyBorder="1"/>
    <xf numFmtId="165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7" fillId="5" borderId="9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8" borderId="8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</cellXfs>
  <cellStyles count="5">
    <cellStyle name="Hiperlink" xfId="4" builtinId="8"/>
    <cellStyle name="Hyperlink" xfId="1" xr:uid="{00000000-000B-0000-0000-000008000000}"/>
    <cellStyle name="Moeda" xfId="2" builtinId="4"/>
    <cellStyle name="Normal" xfId="0" builtinId="0"/>
    <cellStyle name="Porcentagem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do PIB per capita – Malásia (2014–2024)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'QUESTÃO 2'!$A$16:$A$26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'QUESTÃO 2'!B16:B26</c:f>
              <c:numCache>
                <c:formatCode>#,##0.00</c:formatCode>
                <c:ptCount val="11"/>
                <c:pt idx="0">
                  <c:v>11013.03</c:v>
                </c:pt>
                <c:pt idx="1">
                  <c:v>9648.7000000000007</c:v>
                </c:pt>
                <c:pt idx="2">
                  <c:v>9476.5</c:v>
                </c:pt>
                <c:pt idx="3">
                  <c:v>9862.5</c:v>
                </c:pt>
                <c:pt idx="4">
                  <c:v>10901.8</c:v>
                </c:pt>
                <c:pt idx="5">
                  <c:v>10920.2</c:v>
                </c:pt>
                <c:pt idx="6">
                  <c:v>9957.5</c:v>
                </c:pt>
                <c:pt idx="7">
                  <c:v>10903.1</c:v>
                </c:pt>
                <c:pt idx="8">
                  <c:v>11754.6</c:v>
                </c:pt>
                <c:pt idx="9">
                  <c:v>11386</c:v>
                </c:pt>
                <c:pt idx="10">
                  <c:v>11874.43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FE-41C3-957B-AC75C9F99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64199"/>
        <c:axId val="13238279"/>
      </c:lineChart>
      <c:catAx>
        <c:axId val="13064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8279"/>
        <c:crosses val="autoZero"/>
        <c:auto val="1"/>
        <c:lblAlgn val="ctr"/>
        <c:lblOffset val="100"/>
        <c:noMultiLvlLbl val="0"/>
      </c:catAx>
      <c:valAx>
        <c:axId val="13238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PIB per capita (US$)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4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Composição da receita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'[1]Questão 03'!$A$5</c:f>
              <c:strCache>
                <c:ptCount val="1"/>
                <c:pt idx="0">
                  <c:v>Sete lagoas/MG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'[1]Questão 03'!$C$4:$K$4</c:f>
              <c:strCache>
                <c:ptCount val="9"/>
                <c:pt idx="0">
                  <c:v>Tributária</c:v>
                </c:pt>
                <c:pt idx="1">
                  <c:v>Contribuições</c:v>
                </c:pt>
                <c:pt idx="2">
                  <c:v>Patrimonial</c:v>
                </c:pt>
                <c:pt idx="3">
                  <c:v>Serviços</c:v>
                </c:pt>
                <c:pt idx="4">
                  <c:v>Transferências</c:v>
                </c:pt>
                <c:pt idx="5">
                  <c:v>Outras</c:v>
                </c:pt>
                <c:pt idx="6">
                  <c:v>Crédito</c:v>
                </c:pt>
                <c:pt idx="7">
                  <c:v>Alienação</c:v>
                </c:pt>
                <c:pt idx="8">
                  <c:v>Capital</c:v>
                </c:pt>
              </c:strCache>
            </c:strRef>
          </c:cat>
          <c:val>
            <c:numRef>
              <c:f>'[1]Questão 03'!$C$5:$K$5</c:f>
              <c:numCache>
                <c:formatCode>General</c:formatCode>
                <c:ptCount val="9"/>
                <c:pt idx="0">
                  <c:v>267.45998494999998</c:v>
                </c:pt>
                <c:pt idx="1">
                  <c:v>29.893944250000001</c:v>
                </c:pt>
                <c:pt idx="2">
                  <c:v>25.365601829999999</c:v>
                </c:pt>
                <c:pt idx="3">
                  <c:v>125.45180189</c:v>
                </c:pt>
                <c:pt idx="4">
                  <c:v>861.3734761799999</c:v>
                </c:pt>
                <c:pt idx="5">
                  <c:v>15.49847383</c:v>
                </c:pt>
                <c:pt idx="6">
                  <c:v>84.306752169999996</c:v>
                </c:pt>
                <c:pt idx="7">
                  <c:v>3.8742502000000001</c:v>
                </c:pt>
                <c:pt idx="8">
                  <c:v>24.023645769999998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6-4D29-BBDB-28569474AF31}"/>
            </c:ext>
          </c:extLst>
        </c:ser>
        <c:ser>
          <c:idx val="1"/>
          <c:order val="1"/>
          <c:tx>
            <c:strRef>
              <c:f>'[1]Questão 03'!$A$6</c:f>
              <c:strCache>
                <c:ptCount val="1"/>
                <c:pt idx="0">
                  <c:v>Itaboraí/RJ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'[1]Questão 03'!$C$4:$K$4</c:f>
              <c:strCache>
                <c:ptCount val="9"/>
                <c:pt idx="0">
                  <c:v>Tributária</c:v>
                </c:pt>
                <c:pt idx="1">
                  <c:v>Contribuições</c:v>
                </c:pt>
                <c:pt idx="2">
                  <c:v>Patrimonial</c:v>
                </c:pt>
                <c:pt idx="3">
                  <c:v>Serviços</c:v>
                </c:pt>
                <c:pt idx="4">
                  <c:v>Transferências</c:v>
                </c:pt>
                <c:pt idx="5">
                  <c:v>Outras</c:v>
                </c:pt>
                <c:pt idx="6">
                  <c:v>Crédito</c:v>
                </c:pt>
                <c:pt idx="7">
                  <c:v>Alienação</c:v>
                </c:pt>
                <c:pt idx="8">
                  <c:v>Capital</c:v>
                </c:pt>
              </c:strCache>
            </c:strRef>
          </c:cat>
          <c:val>
            <c:numRef>
              <c:f>'[1]Questão 03'!$C$6:$K$6</c:f>
              <c:numCache>
                <c:formatCode>General</c:formatCode>
                <c:ptCount val="9"/>
                <c:pt idx="0">
                  <c:v>219.67181159</c:v>
                </c:pt>
                <c:pt idx="1">
                  <c:v>41.964603500000003</c:v>
                </c:pt>
                <c:pt idx="2">
                  <c:v>30.218466620000001</c:v>
                </c:pt>
                <c:pt idx="3">
                  <c:v>5.0411826099999999</c:v>
                </c:pt>
                <c:pt idx="4">
                  <c:v>725.82916811000007</c:v>
                </c:pt>
                <c:pt idx="5">
                  <c:v>26.992601219999997</c:v>
                </c:pt>
                <c:pt idx="6">
                  <c:v>3.8054785099999999</c:v>
                </c:pt>
                <c:pt idx="7">
                  <c:v>3.8942800000000004E-3</c:v>
                </c:pt>
                <c:pt idx="8">
                  <c:v>14.279253240000001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66-4D29-BBDB-28569474A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62152"/>
        <c:axId val="502575624"/>
      </c:barChart>
      <c:catAx>
        <c:axId val="86662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75624"/>
        <c:crosses val="autoZero"/>
        <c:auto val="1"/>
        <c:lblAlgn val="ctr"/>
        <c:lblOffset val="100"/>
        <c:noMultiLvlLbl val="0"/>
      </c:catAx>
      <c:valAx>
        <c:axId val="502575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Milhões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62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da receita 2014 -2024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'[1]Questão 03'!$A$5</c:f>
              <c:strCache>
                <c:ptCount val="1"/>
                <c:pt idx="0">
                  <c:v>Sete lagoas/MG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'[1]Questão 03'!$A$10:$A$20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'[1]Questão 03'!$B$10:$B$20</c:f>
              <c:numCache>
                <c:formatCode>General</c:formatCode>
                <c:ptCount val="11"/>
                <c:pt idx="0">
                  <c:v>585.34</c:v>
                </c:pt>
                <c:pt idx="1">
                  <c:v>627.78914155999996</c:v>
                </c:pt>
                <c:pt idx="2">
                  <c:v>644.09652781</c:v>
                </c:pt>
                <c:pt idx="3">
                  <c:v>653.99894284000004</c:v>
                </c:pt>
                <c:pt idx="4">
                  <c:v>667.49018623999996</c:v>
                </c:pt>
                <c:pt idx="5">
                  <c:v>745.55564560000005</c:v>
                </c:pt>
                <c:pt idx="6">
                  <c:v>846.21318439000004</c:v>
                </c:pt>
                <c:pt idx="7">
                  <c:v>1028.96391152</c:v>
                </c:pt>
                <c:pt idx="8">
                  <c:v>1117.01331781</c:v>
                </c:pt>
                <c:pt idx="9">
                  <c:v>1298.5717819900001</c:v>
                </c:pt>
                <c:pt idx="10">
                  <c:v>1437.2479310699998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2-4717-B000-E5558B05EE67}"/>
            </c:ext>
          </c:extLst>
        </c:ser>
        <c:ser>
          <c:idx val="1"/>
          <c:order val="1"/>
          <c:tx>
            <c:strRef>
              <c:f>'[1]Questão 03'!$A$6</c:f>
              <c:strCache>
                <c:ptCount val="1"/>
                <c:pt idx="0">
                  <c:v>Itaboraí/RJ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'[1]Questão 03'!$A$10:$A$20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'[1]Questão 03'!$C$10:$C$20</c:f>
              <c:numCache>
                <c:formatCode>General</c:formatCode>
                <c:ptCount val="11"/>
                <c:pt idx="0">
                  <c:v>706.84982464999996</c:v>
                </c:pt>
                <c:pt idx="1">
                  <c:v>632.74173326000005</c:v>
                </c:pt>
                <c:pt idx="2">
                  <c:v>511.87078924999997</c:v>
                </c:pt>
                <c:pt idx="3">
                  <c:v>498.36141068000001</c:v>
                </c:pt>
                <c:pt idx="4">
                  <c:v>562.74227026999995</c:v>
                </c:pt>
                <c:pt idx="5">
                  <c:v>750.42586169000003</c:v>
                </c:pt>
                <c:pt idx="6">
                  <c:v>731.18157592</c:v>
                </c:pt>
                <c:pt idx="7">
                  <c:v>970.71833866999998</c:v>
                </c:pt>
                <c:pt idx="8">
                  <c:v>1015.04695377</c:v>
                </c:pt>
                <c:pt idx="9">
                  <c:v>956.75995580999995</c:v>
                </c:pt>
                <c:pt idx="10">
                  <c:v>1067.80645968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D2-4717-B000-E5558B05E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611592"/>
        <c:axId val="76614152"/>
      </c:lineChart>
      <c:catAx>
        <c:axId val="76611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14152"/>
        <c:crosses val="autoZero"/>
        <c:auto val="1"/>
        <c:lblAlgn val="ctr"/>
        <c:lblOffset val="100"/>
        <c:noMultiLvlLbl val="0"/>
      </c:catAx>
      <c:valAx>
        <c:axId val="76614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Milhões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11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da Despesa Total (2014–2024)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SETE LAGOAS - MG</c:v>
          </c:tx>
          <c:spPr>
            <a:ln w="28575" cap="rnd">
              <a:solidFill>
                <a:srgbClr val="4F81B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'QUESTÃO 4'!A15:A25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'QUESTÃO 4'!B15:B25</c:f>
              <c:numCache>
                <c:formatCode>0.00</c:formatCode>
                <c:ptCount val="11"/>
                <c:pt idx="0">
                  <c:v>645.33117421000009</c:v>
                </c:pt>
                <c:pt idx="1">
                  <c:v>644.43573148000007</c:v>
                </c:pt>
                <c:pt idx="2">
                  <c:v>621.16632342999992</c:v>
                </c:pt>
                <c:pt idx="3">
                  <c:v>601.25990186000001</c:v>
                </c:pt>
                <c:pt idx="4">
                  <c:v>656.64593810000008</c:v>
                </c:pt>
                <c:pt idx="5">
                  <c:v>656.29022540999995</c:v>
                </c:pt>
                <c:pt idx="6">
                  <c:v>779.63880658000005</c:v>
                </c:pt>
                <c:pt idx="7">
                  <c:v>831.34691382000005</c:v>
                </c:pt>
                <c:pt idx="8">
                  <c:v>997.25533612000004</c:v>
                </c:pt>
                <c:pt idx="9">
                  <c:v>1223.5686702400001</c:v>
                </c:pt>
                <c:pt idx="10">
                  <c:v>1414.7380019100001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B2-42B8-820A-406FE76C32A3}"/>
            </c:ext>
          </c:extLst>
        </c:ser>
        <c:ser>
          <c:idx val="2"/>
          <c:order val="1"/>
          <c:tx>
            <c:v>ITABORAÍ - RJ</c:v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'QUESTÃO 4'!A15:A25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'QUESTÃO 4'!C15:C25</c:f>
              <c:numCache>
                <c:formatCode>0.00</c:formatCode>
                <c:ptCount val="11"/>
                <c:pt idx="0">
                  <c:v>790.43719150000004</c:v>
                </c:pt>
                <c:pt idx="1">
                  <c:v>822.34253802000001</c:v>
                </c:pt>
                <c:pt idx="2">
                  <c:v>558.55525447000002</c:v>
                </c:pt>
                <c:pt idx="3">
                  <c:v>497.03345551000001</c:v>
                </c:pt>
                <c:pt idx="4">
                  <c:v>559.65628829999991</c:v>
                </c:pt>
                <c:pt idx="5">
                  <c:v>597.79219946000001</c:v>
                </c:pt>
                <c:pt idx="6">
                  <c:v>654.78432845999998</c:v>
                </c:pt>
                <c:pt idx="7">
                  <c:v>702.95539192999991</c:v>
                </c:pt>
                <c:pt idx="8" formatCode="#,##0.00">
                  <c:v>956.79356422000001</c:v>
                </c:pt>
                <c:pt idx="9" formatCode="#,##0.00">
                  <c:v>1084.5293340000001</c:v>
                </c:pt>
                <c:pt idx="10">
                  <c:v>1208.67945117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B2-42B8-820A-406FE76C3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5544199"/>
        <c:axId val="5452295"/>
      </c:lineChart>
      <c:catAx>
        <c:axId val="1105544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2295"/>
        <c:crosses val="autoZero"/>
        <c:auto val="1"/>
        <c:lblAlgn val="ctr"/>
        <c:lblOffset val="100"/>
        <c:noMultiLvlLbl val="0"/>
      </c:catAx>
      <c:valAx>
        <c:axId val="5452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Dispesas em milhões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544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de Laffer – Sete Lagoas/MG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5648534558180225"/>
                  <c:y val="-0.178815981335666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'QUESTÃO 6'!$D$3:$D$10</c:f>
              <c:numCache>
                <c:formatCode>0%</c:formatCode>
                <c:ptCount val="8"/>
                <c:pt idx="0">
                  <c:v>0.14984701556974622</c:v>
                </c:pt>
                <c:pt idx="1">
                  <c:v>0.20720214930779024</c:v>
                </c:pt>
                <c:pt idx="2">
                  <c:v>0.11825922303006381</c:v>
                </c:pt>
                <c:pt idx="3">
                  <c:v>0.21087285266328595</c:v>
                </c:pt>
                <c:pt idx="4">
                  <c:v>0.17151182741208426</c:v>
                </c:pt>
                <c:pt idx="5">
                  <c:v>0.14285387668563182</c:v>
                </c:pt>
                <c:pt idx="6">
                  <c:v>0.19616872890816855</c:v>
                </c:pt>
                <c:pt idx="7">
                  <c:v>0.14518039281732317</c:v>
                </c:pt>
              </c:numCache>
            </c:numRef>
          </c:xVal>
          <c:yVal>
            <c:numRef>
              <c:f>'QUESTÃO 6'!$B$3:$B$10</c:f>
              <c:numCache>
                <c:formatCode>#,##0</c:formatCode>
                <c:ptCount val="8"/>
                <c:pt idx="0">
                  <c:v>117853596</c:v>
                </c:pt>
                <c:pt idx="1">
                  <c:v>122488852</c:v>
                </c:pt>
                <c:pt idx="2">
                  <c:v>100930536</c:v>
                </c:pt>
                <c:pt idx="3">
                  <c:v>143327711</c:v>
                </c:pt>
                <c:pt idx="4">
                  <c:v>134048601</c:v>
                </c:pt>
                <c:pt idx="5">
                  <c:v>177780068</c:v>
                </c:pt>
                <c:pt idx="6">
                  <c:v>235469984</c:v>
                </c:pt>
                <c:pt idx="7">
                  <c:v>260495145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56-4F4A-A683-C7A2A3D3C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479624"/>
        <c:axId val="322500616"/>
      </c:scatterChart>
      <c:valAx>
        <c:axId val="322479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CARGA TRIBUTÁRIA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500616"/>
        <c:crosses val="autoZero"/>
        <c:crossBetween val="midCat"/>
      </c:valAx>
      <c:valAx>
        <c:axId val="322500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RECEITA TRIBUTÁRIA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479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de Laffer – Itaboraí - RJ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9934208223972003"/>
                  <c:y val="-1.36807378244386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'QUESTÃO 6'!$L$3:$L$11</c:f>
              <c:numCache>
                <c:formatCode>0.00%</c:formatCode>
                <c:ptCount val="9"/>
                <c:pt idx="0">
                  <c:v>0.31641737485901628</c:v>
                </c:pt>
                <c:pt idx="1">
                  <c:v>0.17244837514699901</c:v>
                </c:pt>
                <c:pt idx="2">
                  <c:v>0.16262844555603836</c:v>
                </c:pt>
                <c:pt idx="3">
                  <c:v>0.20019046601048227</c:v>
                </c:pt>
                <c:pt idx="4">
                  <c:v>0.21446908300212761</c:v>
                </c:pt>
                <c:pt idx="5">
                  <c:v>0.16448191379330773</c:v>
                </c:pt>
                <c:pt idx="6">
                  <c:v>0.13908402329636105</c:v>
                </c:pt>
                <c:pt idx="7">
                  <c:v>0.15378585805744838</c:v>
                </c:pt>
                <c:pt idx="8">
                  <c:v>0.16324501793174473</c:v>
                </c:pt>
              </c:numCache>
            </c:numRef>
          </c:xVal>
          <c:yVal>
            <c:numRef>
              <c:f>'QUESTÃO 6'!$J$3:$J$11</c:f>
              <c:numCache>
                <c:formatCode>#,##0.00</c:formatCode>
                <c:ptCount val="9"/>
                <c:pt idx="0">
                  <c:v>186391360.90000001</c:v>
                </c:pt>
                <c:pt idx="1">
                  <c:v>81313506.099999994</c:v>
                </c:pt>
                <c:pt idx="2">
                  <c:v>74259671.700000003</c:v>
                </c:pt>
                <c:pt idx="3">
                  <c:v>102484320.09999999</c:v>
                </c:pt>
                <c:pt idx="4">
                  <c:v>138313821.52000001</c:v>
                </c:pt>
                <c:pt idx="5">
                  <c:v>152023708.40000001</c:v>
                </c:pt>
                <c:pt idx="6">
                  <c:v>176345253.27000001</c:v>
                </c:pt>
                <c:pt idx="7">
                  <c:v>183989153.19999999</c:v>
                </c:pt>
                <c:pt idx="8">
                  <c:v>219671811.59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E9-476E-B648-A219F0106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281351"/>
        <c:axId val="1684302343"/>
      </c:scatterChart>
      <c:valAx>
        <c:axId val="1684281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CARGA TRIBUTÁRIA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302343"/>
        <c:crosses val="autoZero"/>
        <c:crossBetween val="midCat"/>
      </c:valAx>
      <c:valAx>
        <c:axId val="1684302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RECEITA TRIBUTÁRIA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281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Relação entre PIB e Receita – Sete Lagoas/MG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3509953391851525"/>
                  <c:y val="6.439814814814814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'QUESTÃO 7'!C3:C9</c:f>
              <c:numCache>
                <c:formatCode>"R$"#,##0_);[Red]\("R$"#,##0\)</c:formatCode>
                <c:ptCount val="7"/>
                <c:pt idx="0">
                  <c:v>7268.4170000000004</c:v>
                </c:pt>
                <c:pt idx="1">
                  <c:v>8265.4670000000006</c:v>
                </c:pt>
                <c:pt idx="2">
                  <c:v>8537.3140000000003</c:v>
                </c:pt>
                <c:pt idx="3">
                  <c:v>9549.0619999999999</c:v>
                </c:pt>
                <c:pt idx="4">
                  <c:v>9248.4470000000001</c:v>
                </c:pt>
                <c:pt idx="5">
                  <c:v>12655.8</c:v>
                </c:pt>
                <c:pt idx="6">
                  <c:v>14904.465</c:v>
                </c:pt>
              </c:numCache>
            </c:numRef>
          </c:xVal>
          <c:yVal>
            <c:numRef>
              <c:f>'QUESTÃO 7'!$B$3:$B$10</c:f>
              <c:numCache>
                <c:formatCode>_("R$"* #,##0.00_);_("R$"* \(#,##0.00\);_("R$"* "-"??_);_(@_)</c:formatCode>
                <c:ptCount val="8"/>
                <c:pt idx="0">
                  <c:v>786.49278191999997</c:v>
                </c:pt>
                <c:pt idx="1">
                  <c:v>591.15628161999996</c:v>
                </c:pt>
                <c:pt idx="2">
                  <c:v>853.46862150999993</c:v>
                </c:pt>
                <c:pt idx="3">
                  <c:v>679.68782757000008</c:v>
                </c:pt>
                <c:pt idx="4">
                  <c:v>781.57059570000001</c:v>
                </c:pt>
                <c:pt idx="5">
                  <c:v>1244.48892985</c:v>
                </c:pt>
                <c:pt idx="6">
                  <c:v>1200.3441398699999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5FB-49CB-8A45-AC58B8D9A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181640"/>
        <c:axId val="298183688"/>
      </c:scatterChart>
      <c:valAx>
        <c:axId val="298181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PIB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R$&quot;#,##0_);[Red]\(&quot;R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183688"/>
        <c:crosses val="autoZero"/>
        <c:crossBetween val="midCat"/>
      </c:valAx>
      <c:valAx>
        <c:axId val="298183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Receita em milhões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181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Relação entre PIB e Receita – Itaboraí - RJ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023381452318459"/>
                  <c:y val="-5.046296296296296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'QUESTÃO 7'!I3:I10</c:f>
              <c:numCache>
                <c:formatCode>_("R$"* #,##0.00_);_("R$"* \(#,##0.00\);_("R$"* "-"??_);_(@_)</c:formatCode>
                <c:ptCount val="8"/>
                <c:pt idx="0">
                  <c:v>4312.9799999999996</c:v>
                </c:pt>
                <c:pt idx="1">
                  <c:v>4350.4430000000002</c:v>
                </c:pt>
                <c:pt idx="2">
                  <c:v>4186.7060000000001</c:v>
                </c:pt>
                <c:pt idx="3">
                  <c:v>4486.9790000000003</c:v>
                </c:pt>
                <c:pt idx="4">
                  <c:v>5422.0860000000002</c:v>
                </c:pt>
                <c:pt idx="5">
                  <c:v>5640.6779999999999</c:v>
                </c:pt>
                <c:pt idx="6">
                  <c:v>5640.9409999999998</c:v>
                </c:pt>
                <c:pt idx="7">
                  <c:v>6278.393</c:v>
                </c:pt>
              </c:numCache>
            </c:numRef>
          </c:xVal>
          <c:yVal>
            <c:numRef>
              <c:f>'QUESTÃO 7'!$H$3:$H$10</c:f>
              <c:numCache>
                <c:formatCode>_("R$"* #,##0.00_);_("R$"* \(#,##0.00\);_("R$"* "-"??_);_(@_)</c:formatCode>
                <c:ptCount val="8"/>
                <c:pt idx="0">
                  <c:v>589.06803389999993</c:v>
                </c:pt>
                <c:pt idx="1">
                  <c:v>471.52375910000001</c:v>
                </c:pt>
                <c:pt idx="2">
                  <c:v>456.62166569999999</c:v>
                </c:pt>
                <c:pt idx="3">
                  <c:v>511.93407030000003</c:v>
                </c:pt>
                <c:pt idx="4">
                  <c:v>644.91263535000007</c:v>
                </c:pt>
                <c:pt idx="5">
                  <c:v>924.25790102999997</c:v>
                </c:pt>
                <c:pt idx="6">
                  <c:v>1267.90445869</c:v>
                </c:pt>
                <c:pt idx="7">
                  <c:v>1196.3983914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A5D-4A40-977E-4138AAD52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596039"/>
        <c:axId val="1159626759"/>
      </c:scatterChart>
      <c:valAx>
        <c:axId val="1159596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PIB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626759"/>
        <c:crosses val="autoZero"/>
        <c:crossBetween val="midCat"/>
      </c:valAx>
      <c:valAx>
        <c:axId val="1159626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Receita em milhões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596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Per Capta 2014 -2024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'[2]Questão 08'!$B$4</c:f>
              <c:strCache>
                <c:ptCount val="1"/>
                <c:pt idx="0">
                  <c:v>Sete lagoas/MG </c:v>
                </c:pt>
              </c:strCache>
            </c:strRef>
          </c:tx>
          <c:spPr>
            <a:solidFill>
              <a:schemeClr val="accent1"/>
            </a:solidFill>
            <a:ln w="50800">
              <a:noFill/>
            </a:ln>
            <a:effectLst/>
          </c:spPr>
          <c:invertIfNegative val="0"/>
          <c:cat>
            <c:strRef>
              <c:f>'[2]Questão 08'!$A$6:$A$16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'[2]Questão 08'!$F$6:$F$16</c:f>
              <c:numCache>
                <c:formatCode>General</c:formatCode>
                <c:ptCount val="11"/>
                <c:pt idx="0">
                  <c:v>2546.2074845467555</c:v>
                </c:pt>
                <c:pt idx="1">
                  <c:v>2541.8102004402745</c:v>
                </c:pt>
                <c:pt idx="2">
                  <c:v>2335.1391977156459</c:v>
                </c:pt>
                <c:pt idx="3">
                  <c:v>2211.7748380162075</c:v>
                </c:pt>
                <c:pt idx="4">
                  <c:v>2182.9392935524129</c:v>
                </c:pt>
                <c:pt idx="5">
                  <c:v>2327.0373181268415</c:v>
                </c:pt>
                <c:pt idx="6">
                  <c:v>2509.0855569319942</c:v>
                </c:pt>
                <c:pt idx="7">
                  <c:v>2893.7083517469227</c:v>
                </c:pt>
                <c:pt idx="8">
                  <c:v>3061.9602526065701</c:v>
                </c:pt>
                <c:pt idx="9">
                  <c:v>3288.6532340809281</c:v>
                </c:pt>
                <c:pt idx="10">
                  <c:v>3402.1014337029546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81-49B1-86B1-1EF02A9E1EC6}"/>
            </c:ext>
          </c:extLst>
        </c:ser>
        <c:ser>
          <c:idx val="1"/>
          <c:order val="1"/>
          <c:tx>
            <c:strRef>
              <c:f>'[2]Questão 08'!$B$18</c:f>
              <c:strCache>
                <c:ptCount val="1"/>
                <c:pt idx="0">
                  <c:v>Minas Gerais/BR</c:v>
                </c:pt>
              </c:strCache>
            </c:strRef>
          </c:tx>
          <c:spPr>
            <a:solidFill>
              <a:srgbClr val="FFD966"/>
            </a:solidFill>
            <a:ln w="50800">
              <a:noFill/>
            </a:ln>
            <a:effectLst/>
          </c:spPr>
          <c:invertIfNegative val="0"/>
          <c:cat>
            <c:strRef>
              <c:f>'[2]Questão 08'!$A$6:$A$16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'[2]Questão 08'!$F$20:$F$30</c:f>
              <c:numCache>
                <c:formatCode>General</c:formatCode>
                <c:ptCount val="11"/>
                <c:pt idx="0">
                  <c:v>3435.187561680646</c:v>
                </c:pt>
                <c:pt idx="1">
                  <c:v>3305.6256955017593</c:v>
                </c:pt>
                <c:pt idx="2">
                  <c:v>3175.3573242348689</c:v>
                </c:pt>
                <c:pt idx="3">
                  <c:v>3056.9412026269642</c:v>
                </c:pt>
                <c:pt idx="4">
                  <c:v>3715.7002698489418</c:v>
                </c:pt>
                <c:pt idx="5">
                  <c:v>3257.2604153674874</c:v>
                </c:pt>
                <c:pt idx="6">
                  <c:v>3360.2873596876311</c:v>
                </c:pt>
                <c:pt idx="7">
                  <c:v>3949.0581357056431</c:v>
                </c:pt>
                <c:pt idx="8">
                  <c:v>4107.4462831535002</c:v>
                </c:pt>
                <c:pt idx="9">
                  <c:v>3889.6117536365759</c:v>
                </c:pt>
                <c:pt idx="10">
                  <c:v>4073.6414958938808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81-49B1-86B1-1EF02A9E1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611592"/>
        <c:axId val="76614152"/>
      </c:barChart>
      <c:catAx>
        <c:axId val="76611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14152"/>
        <c:crosses val="autoZero"/>
        <c:auto val="1"/>
        <c:lblAlgn val="ctr"/>
        <c:lblOffset val="100"/>
        <c:noMultiLvlLbl val="0"/>
      </c:catAx>
      <c:valAx>
        <c:axId val="76614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Reais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11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Per Capta 2014 -2024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'[2]Questão 08'!$B$47</c:f>
              <c:strCache>
                <c:ptCount val="1"/>
                <c:pt idx="0">
                  <c:v>Itaboraí/RJ</c:v>
                </c:pt>
              </c:strCache>
            </c:strRef>
          </c:tx>
          <c:spPr>
            <a:solidFill>
              <a:srgbClr val="FF0000"/>
            </a:solidFill>
            <a:ln w="50800">
              <a:noFill/>
            </a:ln>
            <a:effectLst/>
          </c:spPr>
          <c:invertIfNegative val="0"/>
          <c:cat>
            <c:strRef>
              <c:f>'[2]Questão 08'!$A$6:$A$16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'[2]Questão 08'!$F$49:$F$59</c:f>
              <c:numCache>
                <c:formatCode>General</c:formatCode>
                <c:ptCount val="11"/>
                <c:pt idx="0">
                  <c:v>3111.5730413174388</c:v>
                </c:pt>
                <c:pt idx="1">
                  <c:v>2596.5415651533372</c:v>
                </c:pt>
                <c:pt idx="2">
                  <c:v>1883.3825115460193</c:v>
                </c:pt>
                <c:pt idx="3">
                  <c:v>1713.2263096636582</c:v>
                </c:pt>
                <c:pt idx="4">
                  <c:v>1829.5113382705924</c:v>
                </c:pt>
                <c:pt idx="5">
                  <c:v>2332.9605428448008</c:v>
                </c:pt>
                <c:pt idx="6">
                  <c:v>2161.6796427811305</c:v>
                </c:pt>
                <c:pt idx="7">
                  <c:v>2724.7021785425213</c:v>
                </c:pt>
                <c:pt idx="8">
                  <c:v>2821.2832285546256</c:v>
                </c:pt>
                <c:pt idx="9">
                  <c:v>2428.3323781278573</c:v>
                </c:pt>
                <c:pt idx="10">
                  <c:v>2505.3910485433194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F-478E-B0B3-8454347FA24D}"/>
            </c:ext>
          </c:extLst>
        </c:ser>
        <c:ser>
          <c:idx val="1"/>
          <c:order val="1"/>
          <c:tx>
            <c:strRef>
              <c:f>'[2]Questão 08'!$B$33</c:f>
              <c:strCache>
                <c:ptCount val="1"/>
                <c:pt idx="0">
                  <c:v>Rio de Janeito/BR</c:v>
                </c:pt>
              </c:strCache>
            </c:strRef>
          </c:tx>
          <c:spPr>
            <a:solidFill>
              <a:srgbClr val="FFD966"/>
            </a:solidFill>
            <a:ln w="50800"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4D1"/>
              </a:solidFill>
              <a:ln w="508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03F-478E-B0B3-8454347FA24D}"/>
              </c:ext>
            </c:extLst>
          </c:dPt>
          <c:dPt>
            <c:idx val="1"/>
            <c:invertIfNegative val="0"/>
            <c:bubble3D val="0"/>
            <c:spPr>
              <a:solidFill>
                <a:srgbClr val="FFF4D1"/>
              </a:solidFill>
              <a:ln w="508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03F-478E-B0B3-8454347FA24D}"/>
              </c:ext>
            </c:extLst>
          </c:dPt>
          <c:dPt>
            <c:idx val="2"/>
            <c:invertIfNegative val="0"/>
            <c:bubble3D val="0"/>
            <c:spPr>
              <a:solidFill>
                <a:srgbClr val="FFF4D1"/>
              </a:solidFill>
              <a:ln w="508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03F-478E-B0B3-8454347FA24D}"/>
              </c:ext>
            </c:extLst>
          </c:dPt>
          <c:dPt>
            <c:idx val="3"/>
            <c:invertIfNegative val="0"/>
            <c:bubble3D val="0"/>
            <c:spPr>
              <a:solidFill>
                <a:srgbClr val="FFF4D1"/>
              </a:solidFill>
              <a:ln w="508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03F-478E-B0B3-8454347FA24D}"/>
              </c:ext>
            </c:extLst>
          </c:dPt>
          <c:dPt>
            <c:idx val="4"/>
            <c:invertIfNegative val="0"/>
            <c:bubble3D val="0"/>
            <c:spPr>
              <a:solidFill>
                <a:srgbClr val="FFF4D1"/>
              </a:solidFill>
              <a:ln w="508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E03F-478E-B0B3-8454347FA24D}"/>
              </c:ext>
            </c:extLst>
          </c:dPt>
          <c:dPt>
            <c:idx val="5"/>
            <c:invertIfNegative val="0"/>
            <c:bubble3D val="0"/>
            <c:spPr>
              <a:solidFill>
                <a:srgbClr val="FFF4D1"/>
              </a:solidFill>
              <a:ln w="508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E03F-478E-B0B3-8454347FA24D}"/>
              </c:ext>
            </c:extLst>
          </c:dPt>
          <c:dPt>
            <c:idx val="6"/>
            <c:invertIfNegative val="0"/>
            <c:bubble3D val="0"/>
            <c:spPr>
              <a:solidFill>
                <a:srgbClr val="FFF4D1"/>
              </a:solidFill>
              <a:ln w="508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E03F-478E-B0B3-8454347FA24D}"/>
              </c:ext>
            </c:extLst>
          </c:dPt>
          <c:dPt>
            <c:idx val="7"/>
            <c:invertIfNegative val="0"/>
            <c:bubble3D val="0"/>
            <c:spPr>
              <a:solidFill>
                <a:srgbClr val="FFF4D1"/>
              </a:solidFill>
              <a:ln w="508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E03F-478E-B0B3-8454347FA24D}"/>
              </c:ext>
            </c:extLst>
          </c:dPt>
          <c:dPt>
            <c:idx val="8"/>
            <c:invertIfNegative val="0"/>
            <c:bubble3D val="0"/>
            <c:spPr>
              <a:solidFill>
                <a:srgbClr val="FFF4D1"/>
              </a:solidFill>
              <a:ln w="508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E03F-478E-B0B3-8454347FA24D}"/>
              </c:ext>
            </c:extLst>
          </c:dPt>
          <c:dPt>
            <c:idx val="9"/>
            <c:invertIfNegative val="0"/>
            <c:bubble3D val="0"/>
            <c:spPr>
              <a:solidFill>
                <a:srgbClr val="FFF4D1"/>
              </a:solidFill>
              <a:ln w="508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E03F-478E-B0B3-8454347FA24D}"/>
              </c:ext>
            </c:extLst>
          </c:dPt>
          <c:dPt>
            <c:idx val="10"/>
            <c:invertIfNegative val="0"/>
            <c:bubble3D val="0"/>
            <c:spPr>
              <a:solidFill>
                <a:srgbClr val="FFF4D1"/>
              </a:solidFill>
              <a:ln w="508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E03F-478E-B0B3-8454347FA24D}"/>
              </c:ext>
            </c:extLst>
          </c:dPt>
          <c:cat>
            <c:strRef>
              <c:f>'[2]Questão 08'!$A$6:$A$16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'[2]Questão 08'!$F$35:$F$45</c:f>
              <c:numCache>
                <c:formatCode>General</c:formatCode>
                <c:ptCount val="11"/>
                <c:pt idx="0">
                  <c:v>4142.5696644461486</c:v>
                </c:pt>
                <c:pt idx="1">
                  <c:v>3488.5766083097692</c:v>
                </c:pt>
                <c:pt idx="2">
                  <c:v>2560.7937405047969</c:v>
                </c:pt>
                <c:pt idx="3">
                  <c:v>2298.4986236691066</c:v>
                </c:pt>
                <c:pt idx="4">
                  <c:v>2544.8498066924349</c:v>
                </c:pt>
                <c:pt idx="5">
                  <c:v>3251.048340698931</c:v>
                </c:pt>
                <c:pt idx="6">
                  <c:v>3019.0864881124107</c:v>
                </c:pt>
                <c:pt idx="7">
                  <c:v>3813.4770579838323</c:v>
                </c:pt>
                <c:pt idx="8">
                  <c:v>4048.6345691906736</c:v>
                </c:pt>
                <c:pt idx="9">
                  <c:v>3635.3507157607824</c:v>
                </c:pt>
                <c:pt idx="10">
                  <c:v>3492.4812901119603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03F-478E-B0B3-8454347FA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611592"/>
        <c:axId val="76614152"/>
      </c:barChart>
      <c:catAx>
        <c:axId val="76611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14152"/>
        <c:crosses val="autoZero"/>
        <c:auto val="1"/>
        <c:lblAlgn val="ctr"/>
        <c:lblOffset val="100"/>
        <c:noMultiLvlLbl val="0"/>
      </c:catAx>
      <c:valAx>
        <c:axId val="76614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Reais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11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Per Capta 2014 -2024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'[2]Questão 08'!$B$47</c:f>
              <c:strCache>
                <c:ptCount val="1"/>
                <c:pt idx="0">
                  <c:v>Itaboraí/RJ</c:v>
                </c:pt>
              </c:strCache>
            </c:strRef>
          </c:tx>
          <c:spPr>
            <a:solidFill>
              <a:srgbClr val="FF0000"/>
            </a:solidFill>
            <a:ln w="50800">
              <a:noFill/>
            </a:ln>
            <a:effectLst/>
          </c:spPr>
          <c:invertIfNegative val="0"/>
          <c:cat>
            <c:strRef>
              <c:f>'[2]Questão 08'!$A$6:$A$16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'[2]Questão 08'!$F$49:$F$59</c:f>
              <c:numCache>
                <c:formatCode>General</c:formatCode>
                <c:ptCount val="11"/>
                <c:pt idx="0">
                  <c:v>3111.5730413174388</c:v>
                </c:pt>
                <c:pt idx="1">
                  <c:v>2596.5415651533372</c:v>
                </c:pt>
                <c:pt idx="2">
                  <c:v>1883.3825115460193</c:v>
                </c:pt>
                <c:pt idx="3">
                  <c:v>1713.2263096636582</c:v>
                </c:pt>
                <c:pt idx="4">
                  <c:v>1829.5113382705924</c:v>
                </c:pt>
                <c:pt idx="5">
                  <c:v>2332.9605428448008</c:v>
                </c:pt>
                <c:pt idx="6">
                  <c:v>2161.6796427811305</c:v>
                </c:pt>
                <c:pt idx="7">
                  <c:v>2724.7021785425213</c:v>
                </c:pt>
                <c:pt idx="8">
                  <c:v>2821.2832285546256</c:v>
                </c:pt>
                <c:pt idx="9">
                  <c:v>2428.3323781278573</c:v>
                </c:pt>
                <c:pt idx="10">
                  <c:v>2505.3910485433194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C-449E-8A6E-C1192F1A8F7E}"/>
            </c:ext>
          </c:extLst>
        </c:ser>
        <c:ser>
          <c:idx val="1"/>
          <c:order val="1"/>
          <c:tx>
            <c:strRef>
              <c:f>'[2]Questão 08'!$B$4</c:f>
              <c:strCache>
                <c:ptCount val="1"/>
                <c:pt idx="0">
                  <c:v>Sete lagoas/MG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'[2]Questão 08'!$A$6:$A$16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'[2]Questão 08'!$F$6:$F$16</c:f>
              <c:numCache>
                <c:formatCode>General</c:formatCode>
                <c:ptCount val="11"/>
                <c:pt idx="0">
                  <c:v>2546.2074845467555</c:v>
                </c:pt>
                <c:pt idx="1">
                  <c:v>2541.8102004402745</c:v>
                </c:pt>
                <c:pt idx="2">
                  <c:v>2335.1391977156459</c:v>
                </c:pt>
                <c:pt idx="3">
                  <c:v>2211.7748380162075</c:v>
                </c:pt>
                <c:pt idx="4">
                  <c:v>2182.9392935524129</c:v>
                </c:pt>
                <c:pt idx="5">
                  <c:v>2327.0373181268415</c:v>
                </c:pt>
                <c:pt idx="6">
                  <c:v>2509.0855569319942</c:v>
                </c:pt>
                <c:pt idx="7">
                  <c:v>2893.7083517469227</c:v>
                </c:pt>
                <c:pt idx="8">
                  <c:v>3061.9602526065701</c:v>
                </c:pt>
                <c:pt idx="9">
                  <c:v>3288.6532340809281</c:v>
                </c:pt>
                <c:pt idx="10">
                  <c:v>3402.1014337029546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EC-449E-8A6E-C1192F1A8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611592"/>
        <c:axId val="76614152"/>
      </c:barChart>
      <c:catAx>
        <c:axId val="76611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14152"/>
        <c:crosses val="autoZero"/>
        <c:auto val="1"/>
        <c:lblAlgn val="ctr"/>
        <c:lblOffset val="100"/>
        <c:noMultiLvlLbl val="0"/>
      </c:catAx>
      <c:valAx>
        <c:axId val="76614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Reais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11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13</xdr:row>
      <xdr:rowOff>180975</xdr:rowOff>
    </xdr:from>
    <xdr:to>
      <xdr:col>7</xdr:col>
      <xdr:colOff>514350</xdr:colOff>
      <xdr:row>28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CAB6E8-1448-4A5C-B01B-31A2B0FD84E7}"/>
            </a:ext>
            <a:ext uri="{147F2762-F138-4A5C-976F-8EAC2B608ADB}">
              <a16:predDERef xmlns:a16="http://schemas.microsoft.com/office/drawing/2014/main" pred="{D705F0FF-79DD-42EE-B79F-5B5E3C524C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638175</xdr:colOff>
      <xdr:row>8</xdr:row>
      <xdr:rowOff>85725</xdr:rowOff>
    </xdr:from>
    <xdr:to>
      <xdr:col>12</xdr:col>
      <xdr:colOff>87630</xdr:colOff>
      <xdr:row>22</xdr:row>
      <xdr:rowOff>78105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19DD1E-24BA-4BE4-97FA-90EA42C4452E}"/>
            </a:ext>
            <a:ext uri="{147F2762-F138-4A5C-976F-8EAC2B608ADB}">
              <a16:predDERef xmlns:a16="http://schemas.microsoft.com/office/drawing/2014/main" pred="{CD1FC241-8F62-81A8-CB96-196322331A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466725</xdr:colOff>
      <xdr:row>8</xdr:row>
      <xdr:rowOff>57150</xdr:rowOff>
    </xdr:from>
    <xdr:to>
      <xdr:col>7</xdr:col>
      <xdr:colOff>466725</xdr:colOff>
      <xdr:row>22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A75F089-CF8D-4328-9946-81E4276D42FC}"/>
            </a:ext>
            <a:ext uri="{147F2762-F138-4A5C-976F-8EAC2B608ADB}">
              <a16:predDERef xmlns:a16="http://schemas.microsoft.com/office/drawing/2014/main" pred="{2719DD1E-24BA-4BE4-97FA-90EA42C44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3</xdr:row>
      <xdr:rowOff>9525</xdr:rowOff>
    </xdr:from>
    <xdr:to>
      <xdr:col>15</xdr:col>
      <xdr:colOff>228600</xdr:colOff>
      <xdr:row>20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00BA15-E259-4727-82EC-4B35061166D2}"/>
            </a:ext>
            <a:ext uri="{147F2762-F138-4A5C-976F-8EAC2B608ADB}">
              <a16:predDERef xmlns:a16="http://schemas.microsoft.com/office/drawing/2014/main" pred="{5F21C8F4-433A-2A87-A7EF-C2058C296A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11</xdr:row>
      <xdr:rowOff>38100</xdr:rowOff>
    </xdr:from>
    <xdr:to>
      <xdr:col>5</xdr:col>
      <xdr:colOff>323850</xdr:colOff>
      <xdr:row>25</xdr:row>
      <xdr:rowOff>114300</xdr:rowOff>
    </xdr:to>
    <xdr:graphicFrame macro="">
      <xdr:nvGraphicFramePr>
        <xdr:cNvPr id="77" name="Gráfico 4">
          <a:extLst>
            <a:ext uri="{FF2B5EF4-FFF2-40B4-BE49-F238E27FC236}">
              <a16:creationId xmlns:a16="http://schemas.microsoft.com/office/drawing/2014/main" id="{79F940D3-34BC-8E81-89E8-A6674EE53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533400</xdr:colOff>
      <xdr:row>11</xdr:row>
      <xdr:rowOff>57150</xdr:rowOff>
    </xdr:from>
    <xdr:to>
      <xdr:col>12</xdr:col>
      <xdr:colOff>76200</xdr:colOff>
      <xdr:row>25</xdr:row>
      <xdr:rowOff>133350</xdr:rowOff>
    </xdr:to>
    <xdr:graphicFrame macro="">
      <xdr:nvGraphicFramePr>
        <xdr:cNvPr id="78" name="Gráfico 77">
          <a:extLst>
            <a:ext uri="{FF2B5EF4-FFF2-40B4-BE49-F238E27FC236}">
              <a16:creationId xmlns:a16="http://schemas.microsoft.com/office/drawing/2014/main" id="{83FF502B-42A8-72EF-2556-D45DA3607512}"/>
            </a:ext>
            <a:ext uri="{147F2762-F138-4A5C-976F-8EAC2B608ADB}">
              <a16:predDERef xmlns:a16="http://schemas.microsoft.com/office/drawing/2014/main" pred="{79F940D3-34BC-8E81-89E8-A6674EE53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11</xdr:row>
      <xdr:rowOff>0</xdr:rowOff>
    </xdr:from>
    <xdr:to>
      <xdr:col>6</xdr:col>
      <xdr:colOff>114300</xdr:colOff>
      <xdr:row>25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2519C7F-00C2-93E3-8A06-BD782C0EAC25}"/>
            </a:ext>
            <a:ext uri="{147F2762-F138-4A5C-976F-8EAC2B608ADB}">
              <a16:predDERef xmlns:a16="http://schemas.microsoft.com/office/drawing/2014/main" pred="{F53DC52C-564A-3F50-BDD8-AA8F60BB3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10</xdr:row>
      <xdr:rowOff>47625</xdr:rowOff>
    </xdr:from>
    <xdr:to>
      <xdr:col>17</xdr:col>
      <xdr:colOff>285750</xdr:colOff>
      <xdr:row>24</xdr:row>
      <xdr:rowOff>123825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B01567E-649F-9B9A-10F7-0AFDADA62B8E}"/>
            </a:ext>
            <a:ext uri="{147F2762-F138-4A5C-976F-8EAC2B608ADB}">
              <a16:predDERef xmlns:a16="http://schemas.microsoft.com/office/drawing/2014/main" pred="{E2519C7F-00C2-93E3-8A06-BD782C0EA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189137</xdr:colOff>
      <xdr:row>38</xdr:row>
      <xdr:rowOff>47624</xdr:rowOff>
    </xdr:from>
    <xdr:to>
      <xdr:col>24</xdr:col>
      <xdr:colOff>43542</xdr:colOff>
      <xdr:row>49</xdr:row>
      <xdr:rowOff>142602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8438F1-3D39-4380-98E7-D265347CB2A4}"/>
            </a:ext>
            <a:ext uri="{147F2762-F138-4A5C-976F-8EAC2B608ADB}">
              <a16:predDERef xmlns:a16="http://schemas.microsoft.com/office/drawing/2014/main" pred="{6FC4D337-CCF2-45F5-8270-C2208FE24A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1123950</xdr:colOff>
      <xdr:row>38</xdr:row>
      <xdr:rowOff>47625</xdr:rowOff>
    </xdr:from>
    <xdr:to>
      <xdr:col>13</xdr:col>
      <xdr:colOff>87085</xdr:colOff>
      <xdr:row>49</xdr:row>
      <xdr:rowOff>137160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30EDEC3-DA2D-405A-ADBC-6A026EB24F3E}"/>
            </a:ext>
            <a:ext uri="{147F2762-F138-4A5C-976F-8EAC2B608ADB}">
              <a16:predDERef xmlns:a16="http://schemas.microsoft.com/office/drawing/2014/main" pred="{718438F1-3D39-4380-98E7-D265347CB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326572</xdr:colOff>
      <xdr:row>4</xdr:row>
      <xdr:rowOff>515709</xdr:rowOff>
    </xdr:from>
    <xdr:to>
      <xdr:col>15</xdr:col>
      <xdr:colOff>32657</xdr:colOff>
      <xdr:row>30</xdr:row>
      <xdr:rowOff>4082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1B5AC45-BD58-4C9E-8372-8234AB28610C}"/>
            </a:ext>
            <a:ext uri="{147F2762-F138-4A5C-976F-8EAC2B608ADB}">
              <a16:predDERef xmlns:a16="http://schemas.microsoft.com/office/drawing/2014/main" pred="{E30EDEC3-DA2D-405A-ADBC-6A026EB24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bbr-my.sharepoint.com/personal/241032850_aluno_unb_br/Documents/GeralR01.xlsx" TargetMode="External"/><Relationship Id="rId1" Type="http://schemas.openxmlformats.org/officeDocument/2006/relationships/externalLinkPath" Target="GeralR0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bbr-my.sharepoint.com/personal/241032850_aluno_unb_br/Documents/Geral.xlsx" TargetMode="External"/><Relationship Id="rId1" Type="http://schemas.openxmlformats.org/officeDocument/2006/relationships/externalLinkPath" Target="Ger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Vsexpf3YUiYR66YUTX1IXKkwlqVuyNPsdbOZiWv_cP67kSnY5ycTIk3RIAAw-qE" itemId="01XLXI633CD33H5ISKDFB3F7IZRBLAQUGH">
      <xxl21:absoluteUrl r:id="rId2"/>
    </xxl21:alternateUrls>
    <sheetNames>
      <sheetName val="Questão 03"/>
      <sheetName val="Questão 08"/>
    </sheetNames>
    <sheetDataSet>
      <sheetData sheetId="0">
        <row r="4">
          <cell r="C4" t="str">
            <v>Tributária</v>
          </cell>
          <cell r="D4" t="str">
            <v>Contribuições</v>
          </cell>
          <cell r="E4" t="str">
            <v>Patrimonial</v>
          </cell>
          <cell r="F4" t="str">
            <v>Serviços</v>
          </cell>
          <cell r="G4" t="str">
            <v>Transferências</v>
          </cell>
          <cell r="H4" t="str">
            <v>Outras</v>
          </cell>
          <cell r="I4" t="str">
            <v>Crédito</v>
          </cell>
          <cell r="J4" t="str">
            <v>Alienação</v>
          </cell>
          <cell r="K4" t="str">
            <v>Capital</v>
          </cell>
        </row>
        <row r="5">
          <cell r="A5" t="str">
            <v xml:space="preserve">Sete lagoas/MG </v>
          </cell>
          <cell r="C5">
            <v>267.45998494999998</v>
          </cell>
          <cell r="D5">
            <v>29.893944250000001</v>
          </cell>
          <cell r="E5">
            <v>25.365601829999999</v>
          </cell>
          <cell r="F5">
            <v>125.45180189</v>
          </cell>
          <cell r="G5">
            <v>861.3734761799999</v>
          </cell>
          <cell r="H5">
            <v>15.49847383</v>
          </cell>
          <cell r="I5">
            <v>84.306752169999996</v>
          </cell>
          <cell r="J5">
            <v>3.8742502000000001</v>
          </cell>
          <cell r="K5">
            <v>24.023645769999998</v>
          </cell>
        </row>
        <row r="6">
          <cell r="A6" t="str">
            <v>Itaboraí/RJ</v>
          </cell>
          <cell r="C6">
            <v>219.67181159</v>
          </cell>
          <cell r="D6">
            <v>41.964603500000003</v>
          </cell>
          <cell r="E6">
            <v>30.218466620000001</v>
          </cell>
          <cell r="F6">
            <v>5.0411826099999999</v>
          </cell>
          <cell r="G6">
            <v>725.82916811000007</v>
          </cell>
          <cell r="H6">
            <v>26.992601219999997</v>
          </cell>
          <cell r="I6">
            <v>3.8054785099999999</v>
          </cell>
          <cell r="J6">
            <v>3.8942800000000004E-3</v>
          </cell>
          <cell r="K6">
            <v>14.279253240000001</v>
          </cell>
        </row>
        <row r="10">
          <cell r="A10">
            <v>2014</v>
          </cell>
          <cell r="B10">
            <v>585.34</v>
          </cell>
          <cell r="C10">
            <v>706.84982464999996</v>
          </cell>
        </row>
        <row r="11">
          <cell r="A11">
            <v>2015</v>
          </cell>
          <cell r="B11">
            <v>627.78914155999996</v>
          </cell>
          <cell r="C11">
            <v>632.74173326000005</v>
          </cell>
        </row>
        <row r="12">
          <cell r="A12">
            <v>2016</v>
          </cell>
          <cell r="B12">
            <v>644.09652781</v>
          </cell>
          <cell r="C12">
            <v>511.87078924999997</v>
          </cell>
        </row>
        <row r="13">
          <cell r="A13">
            <v>2017</v>
          </cell>
          <cell r="B13">
            <v>653.99894284000004</v>
          </cell>
          <cell r="C13">
            <v>498.36141068000001</v>
          </cell>
        </row>
        <row r="14">
          <cell r="A14">
            <v>2018</v>
          </cell>
          <cell r="B14">
            <v>667.49018623999996</v>
          </cell>
          <cell r="C14">
            <v>562.74227026999995</v>
          </cell>
        </row>
        <row r="15">
          <cell r="A15">
            <v>2019</v>
          </cell>
          <cell r="B15">
            <v>745.55564560000005</v>
          </cell>
          <cell r="C15">
            <v>750.42586169000003</v>
          </cell>
        </row>
        <row r="16">
          <cell r="A16">
            <v>2020</v>
          </cell>
          <cell r="B16">
            <v>846.21318439000004</v>
          </cell>
          <cell r="C16">
            <v>731.18157592</v>
          </cell>
        </row>
        <row r="17">
          <cell r="A17">
            <v>2021</v>
          </cell>
          <cell r="B17">
            <v>1028.96391152</v>
          </cell>
          <cell r="C17">
            <v>970.71833866999998</v>
          </cell>
        </row>
        <row r="18">
          <cell r="A18">
            <v>2022</v>
          </cell>
          <cell r="B18">
            <v>1117.01331781</v>
          </cell>
          <cell r="C18">
            <v>1015.04695377</v>
          </cell>
        </row>
        <row r="19">
          <cell r="A19">
            <v>2023</v>
          </cell>
          <cell r="B19">
            <v>1298.5717819900001</v>
          </cell>
          <cell r="C19">
            <v>956.75995580999995</v>
          </cell>
        </row>
        <row r="20">
          <cell r="A20">
            <v>2024</v>
          </cell>
          <cell r="B20">
            <v>1437.2479310699998</v>
          </cell>
          <cell r="C20">
            <v>1067.80645968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Vsexpf3YUiYR66YUTX1IXKkwlqVuyNPsdbOZiWv_cP67kSnY5ycTIk3RIAAw-qE" itemId="01XLXI634GGAFX6XOCSBFYTSONRJLWNGBB">
      <xxl21:absoluteUrl r:id="rId2"/>
    </xxl21:alternateUrls>
    <sheetNames>
      <sheetName val="Questão 03"/>
      <sheetName val="Questão 08"/>
    </sheetNames>
    <sheetDataSet>
      <sheetData sheetId="0"/>
      <sheetData sheetId="1">
        <row r="4">
          <cell r="B4" t="str">
            <v xml:space="preserve">Sete lagoas/MG </v>
          </cell>
        </row>
        <row r="6">
          <cell r="A6">
            <v>2014</v>
          </cell>
          <cell r="F6">
            <v>2546.2074845467555</v>
          </cell>
        </row>
        <row r="7">
          <cell r="A7">
            <v>2015</v>
          </cell>
          <cell r="F7">
            <v>2541.8102004402745</v>
          </cell>
        </row>
        <row r="8">
          <cell r="A8">
            <v>2016</v>
          </cell>
          <cell r="F8">
            <v>2335.1391977156459</v>
          </cell>
        </row>
        <row r="9">
          <cell r="A9">
            <v>2017</v>
          </cell>
          <cell r="F9">
            <v>2211.7748380162075</v>
          </cell>
        </row>
        <row r="10">
          <cell r="A10">
            <v>2018</v>
          </cell>
          <cell r="F10">
            <v>2182.9392935524129</v>
          </cell>
        </row>
        <row r="11">
          <cell r="A11">
            <v>2019</v>
          </cell>
          <cell r="F11">
            <v>2327.0373181268415</v>
          </cell>
        </row>
        <row r="12">
          <cell r="A12">
            <v>2020</v>
          </cell>
          <cell r="F12">
            <v>2509.0855569319942</v>
          </cell>
        </row>
        <row r="13">
          <cell r="A13">
            <v>2021</v>
          </cell>
          <cell r="F13">
            <v>2893.7083517469227</v>
          </cell>
        </row>
        <row r="14">
          <cell r="A14">
            <v>2022</v>
          </cell>
          <cell r="F14">
            <v>3061.9602526065701</v>
          </cell>
        </row>
        <row r="15">
          <cell r="A15">
            <v>2023</v>
          </cell>
          <cell r="F15">
            <v>3288.6532340809281</v>
          </cell>
        </row>
        <row r="16">
          <cell r="A16">
            <v>2024</v>
          </cell>
          <cell r="F16">
            <v>3402.1014337029546</v>
          </cell>
        </row>
        <row r="18">
          <cell r="B18" t="str">
            <v>Minas Gerais/BR</v>
          </cell>
        </row>
        <row r="20">
          <cell r="F20">
            <v>3435.187561680646</v>
          </cell>
        </row>
        <row r="21">
          <cell r="F21">
            <v>3305.6256955017593</v>
          </cell>
        </row>
        <row r="22">
          <cell r="F22">
            <v>3175.3573242348689</v>
          </cell>
        </row>
        <row r="23">
          <cell r="F23">
            <v>3056.9412026269642</v>
          </cell>
        </row>
        <row r="24">
          <cell r="F24">
            <v>3715.7002698489418</v>
          </cell>
        </row>
        <row r="25">
          <cell r="F25">
            <v>3257.2604153674874</v>
          </cell>
        </row>
        <row r="26">
          <cell r="F26">
            <v>3360.2873596876311</v>
          </cell>
        </row>
        <row r="27">
          <cell r="F27">
            <v>3949.0581357056431</v>
          </cell>
        </row>
        <row r="28">
          <cell r="F28">
            <v>4107.4462831535002</v>
          </cell>
        </row>
        <row r="29">
          <cell r="F29">
            <v>3889.6117536365759</v>
          </cell>
        </row>
        <row r="30">
          <cell r="F30">
            <v>4073.6414958938808</v>
          </cell>
        </row>
        <row r="33">
          <cell r="B33" t="str">
            <v>Rio de Janeito/BR</v>
          </cell>
        </row>
        <row r="35">
          <cell r="F35">
            <v>4142.5696644461486</v>
          </cell>
        </row>
        <row r="36">
          <cell r="F36">
            <v>3488.5766083097692</v>
          </cell>
        </row>
        <row r="37">
          <cell r="F37">
            <v>2560.7937405047969</v>
          </cell>
        </row>
        <row r="38">
          <cell r="F38">
            <v>2298.4986236691066</v>
          </cell>
        </row>
        <row r="39">
          <cell r="F39">
            <v>2544.8498066924349</v>
          </cell>
        </row>
        <row r="40">
          <cell r="F40">
            <v>3251.048340698931</v>
          </cell>
        </row>
        <row r="41">
          <cell r="F41">
            <v>3019.0864881124107</v>
          </cell>
        </row>
        <row r="42">
          <cell r="F42">
            <v>3813.4770579838323</v>
          </cell>
        </row>
        <row r="43">
          <cell r="F43">
            <v>4048.6345691906736</v>
          </cell>
        </row>
        <row r="44">
          <cell r="F44">
            <v>3635.3507157607824</v>
          </cell>
        </row>
        <row r="45">
          <cell r="F45">
            <v>3492.4812901119603</v>
          </cell>
        </row>
        <row r="47">
          <cell r="B47" t="str">
            <v>Itaboraí/RJ</v>
          </cell>
        </row>
        <row r="49">
          <cell r="F49">
            <v>3111.5730413174388</v>
          </cell>
        </row>
        <row r="50">
          <cell r="F50">
            <v>2596.5415651533372</v>
          </cell>
        </row>
        <row r="51">
          <cell r="F51">
            <v>1883.3825115460193</v>
          </cell>
        </row>
        <row r="52">
          <cell r="F52">
            <v>1713.2263096636582</v>
          </cell>
        </row>
        <row r="53">
          <cell r="F53">
            <v>1829.5113382705924</v>
          </cell>
        </row>
        <row r="54">
          <cell r="F54">
            <v>2332.9605428448008</v>
          </cell>
        </row>
        <row r="55">
          <cell r="F55">
            <v>2161.6796427811305</v>
          </cell>
        </row>
        <row r="56">
          <cell r="F56">
            <v>2724.7021785425213</v>
          </cell>
        </row>
        <row r="57">
          <cell r="F57">
            <v>2821.2832285546256</v>
          </cell>
        </row>
        <row r="58">
          <cell r="F58">
            <v>2428.3323781278573</v>
          </cell>
        </row>
        <row r="59">
          <cell r="F59">
            <v>2505.3910485433194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aiany Alves Dos Santos" id="{D7AE293C-B493-4507-A873-3DD0096DEAEE}" userId="S::241032850@aluno.unb.br::e612bd05-3a55-4aad-b4b4-b119ce00f6c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5-03T19:17:26.32" personId="{D7AE293C-B493-4507-A873-3DD0096DEAEE}" id="{94AA16E3-9297-4099-BFE6-280B6D02676D}">
    <text>Os dados de receita foram obtidos no Siconfi/STN, na seção Contas Anuais, considerando a receita orçamentária total arrecadada.</text>
  </threadedComment>
  <threadedComment ref="H12" dT="2026-05-05T00:50:28.45" personId="{D7AE293C-B493-4507-A873-3DD0096DEAEE}" id="{56312E81-A124-4C71-9D51-70407AC09418}">
    <text>Valor estimado pela IA</text>
  </threadedComment>
  <threadedComment ref="B16" dT="2026-05-03T19:17:39.08" personId="{D7AE293C-B493-4507-A873-3DD0096DEAEE}" id="{F18FBD90-3487-4C28-9DD4-D6A3F4C64AC9}">
    <text>Os dados de receita foram obtidos no Siconfi/STN, na seção Contas Anuais, considerando a receita orçamentária total arrecadada.</text>
  </threadedComment>
  <threadedComment ref="H26" dT="2026-05-05T00:50:40.27" personId="{D7AE293C-B493-4507-A873-3DD0096DEAEE}" id="{28F92B66-06EC-4498-92B6-3A754D926B96}">
    <text>Valor estimado pela IA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siconfi.tesouro.gov.br/siconfi/index.js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://tabnet.datasus.gov.br/cgi/deftohtm.exe?sim/cnv/inf10mg.def" TargetMode="External"/><Relationship Id="rId1" Type="http://schemas.openxmlformats.org/officeDocument/2006/relationships/hyperlink" Target="https://siconfi.tesouro.gov.br/siconfi/pages/public/consulta_finbra/finbra_list.js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ftp.ibge.gov.br/Censos/Censo_Demografico_2022/" TargetMode="External"/><Relationship Id="rId2" Type="http://schemas.openxmlformats.org/officeDocument/2006/relationships/hyperlink" Target="https://siconfi.tesouro.gov.br/siconfi/index.jsf" TargetMode="External"/><Relationship Id="rId1" Type="http://schemas.openxmlformats.org/officeDocument/2006/relationships/hyperlink" Target="https://ftp.ibge.gov.br/Estimativas_de_Populacao/" TargetMode="External"/><Relationship Id="rId5" Type="http://schemas.openxmlformats.org/officeDocument/2006/relationships/drawing" Target="../drawings/drawing6.xml"/><Relationship Id="rId4" Type="http://schemas.openxmlformats.org/officeDocument/2006/relationships/hyperlink" Target="https://www.dadosdemercado.com.br/indices/ipca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siconfi.tesouro.gov.br/siconfi/pages/public/consulta_finbra/finbra_list.jsf" TargetMode="External"/><Relationship Id="rId3" Type="http://schemas.openxmlformats.org/officeDocument/2006/relationships/hyperlink" Target="https://sidra.ibge.gov.br/pesquisa/snipc/ipca/tabelas/brasil/dezembro-2020" TargetMode="External"/><Relationship Id="rId7" Type="http://schemas.openxmlformats.org/officeDocument/2006/relationships/hyperlink" Target="http://tabnet.datasus.gov.br/cgi/deftohtm.exe?sim/cnv/inf10mg.def" TargetMode="External"/><Relationship Id="rId2" Type="http://schemas.openxmlformats.org/officeDocument/2006/relationships/hyperlink" Target="https://sidra.ibge.gov.br/pesquisa/estimapop/tabelas" TargetMode="External"/><Relationship Id="rId1" Type="http://schemas.openxmlformats.org/officeDocument/2006/relationships/hyperlink" Target="https://sidra.ibge.gov.br/pesquisa/pib-munic/tabelas" TargetMode="External"/><Relationship Id="rId6" Type="http://schemas.openxmlformats.org/officeDocument/2006/relationships/hyperlink" Target="https://siconfi.tesouro.gov.br/siconfi/pages/public/consulta_finbra/finbra_list.jsf" TargetMode="External"/><Relationship Id="rId5" Type="http://schemas.openxmlformats.org/officeDocument/2006/relationships/hyperlink" Target="https://siconfi.tesouro.gov.br/siconfi/index.jsf" TargetMode="External"/><Relationship Id="rId4" Type="http://schemas.openxmlformats.org/officeDocument/2006/relationships/hyperlink" Target="https://siconfi.tesouro.gov.br/siconfi/index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N29"/>
  <sheetViews>
    <sheetView workbookViewId="0">
      <selection activeCell="J15" sqref="J15"/>
    </sheetView>
  </sheetViews>
  <sheetFormatPr defaultRowHeight="15"/>
  <cols>
    <col min="2" max="2" width="20.28515625" style="1" bestFit="1" customWidth="1"/>
    <col min="3" max="3" width="20.28515625" style="1" customWidth="1"/>
    <col min="4" max="4" width="20.42578125" bestFit="1" customWidth="1"/>
    <col min="5" max="5" width="22.28515625" style="1" customWidth="1"/>
    <col min="6" max="6" width="34.85546875" customWidth="1"/>
    <col min="7" max="7" width="11.28515625" style="2" bestFit="1" customWidth="1"/>
    <col min="8" max="8" width="13.7109375" bestFit="1" customWidth="1"/>
    <col min="9" max="9" width="16.85546875" bestFit="1" customWidth="1"/>
    <col min="10" max="10" width="27.85546875" customWidth="1"/>
    <col min="11" max="11" width="135.85546875" bestFit="1" customWidth="1"/>
    <col min="12" max="12" width="27.28515625" style="15" bestFit="1" customWidth="1"/>
    <col min="13" max="13" width="11.85546875" bestFit="1" customWidth="1"/>
    <col min="14" max="14" width="30.140625" style="15" bestFit="1" customWidth="1"/>
  </cols>
  <sheetData>
    <row r="1" spans="1:11" ht="15.75">
      <c r="A1" s="105" t="s">
        <v>0</v>
      </c>
      <c r="B1" s="106"/>
      <c r="C1" s="106"/>
      <c r="D1" s="106"/>
      <c r="E1" s="106"/>
      <c r="F1" s="106"/>
      <c r="G1" s="106"/>
      <c r="H1" s="106"/>
      <c r="I1" s="106"/>
      <c r="J1" s="9"/>
    </row>
    <row r="2" spans="1:11" ht="30.75">
      <c r="A2" s="24" t="s">
        <v>1</v>
      </c>
      <c r="B2" s="53" t="s">
        <v>2</v>
      </c>
      <c r="C2" s="59" t="s">
        <v>3</v>
      </c>
      <c r="D2" s="60" t="s">
        <v>4</v>
      </c>
      <c r="E2" s="53" t="s">
        <v>5</v>
      </c>
      <c r="F2" s="24" t="s">
        <v>6</v>
      </c>
      <c r="G2" s="74" t="s">
        <v>7</v>
      </c>
      <c r="H2" s="24" t="s">
        <v>8</v>
      </c>
      <c r="I2" s="75" t="s">
        <v>9</v>
      </c>
      <c r="J2" s="80" t="s">
        <v>10</v>
      </c>
      <c r="K2" s="3"/>
    </row>
    <row r="3" spans="1:11">
      <c r="A3" s="6">
        <v>2014</v>
      </c>
      <c r="B3" s="83">
        <v>585.34</v>
      </c>
      <c r="C3" s="61">
        <v>6.4100000000000004E-2</v>
      </c>
      <c r="D3" s="62">
        <v>1</v>
      </c>
      <c r="E3" s="10">
        <f>B3*D3</f>
        <v>585.34</v>
      </c>
      <c r="F3" s="31">
        <f>8054271000/10^6</f>
        <v>8054.2709999999997</v>
      </c>
      <c r="G3" s="13">
        <f>E3/F3</f>
        <v>7.2674485375523123E-2</v>
      </c>
      <c r="H3" s="29">
        <v>229887</v>
      </c>
      <c r="I3" s="35">
        <f>E3/H3*1000000</f>
        <v>2546.2074845467555</v>
      </c>
      <c r="J3" s="8" t="s">
        <v>11</v>
      </c>
      <c r="K3" s="3" t="s">
        <v>12</v>
      </c>
    </row>
    <row r="4" spans="1:11">
      <c r="A4" s="6">
        <v>2015</v>
      </c>
      <c r="B4" s="83">
        <v>627.78914155999996</v>
      </c>
      <c r="C4" s="63">
        <v>0.1067</v>
      </c>
      <c r="D4" s="62">
        <f>D3*(C3+1)</f>
        <v>1.0641</v>
      </c>
      <c r="E4" s="10">
        <f>B4/D4</f>
        <v>589.97194019359074</v>
      </c>
      <c r="F4" s="31">
        <f>7680951000/10^6</f>
        <v>7680.951</v>
      </c>
      <c r="G4" s="13">
        <f t="shared" ref="G3:G13" si="0">E4/F4</f>
        <v>7.680975183848858E-2</v>
      </c>
      <c r="H4" s="29">
        <v>232107</v>
      </c>
      <c r="I4" s="35">
        <f t="shared" ref="I4:I13" si="1">E4/H4*1000000</f>
        <v>2541.8102004402745</v>
      </c>
      <c r="J4" s="8" t="s">
        <v>3</v>
      </c>
      <c r="K4" s="3" t="s">
        <v>13</v>
      </c>
    </row>
    <row r="5" spans="1:11">
      <c r="A5" s="6">
        <v>2016</v>
      </c>
      <c r="B5" s="83">
        <v>644.09652781</v>
      </c>
      <c r="C5" s="63">
        <v>6.2899999999999998E-2</v>
      </c>
      <c r="D5" s="62">
        <f>D4*(C4+1)</f>
        <v>1.1776394700000001</v>
      </c>
      <c r="E5" s="10">
        <f t="shared" ref="E5:E13" si="2">B5/D5</f>
        <v>546.93863802815633</v>
      </c>
      <c r="F5" s="31">
        <f>7268417000/10^6</f>
        <v>7268.4170000000004</v>
      </c>
      <c r="G5" s="13">
        <f>E5/F5</f>
        <v>7.5248659787702926E-2</v>
      </c>
      <c r="H5" s="29">
        <v>234221</v>
      </c>
      <c r="I5" s="35">
        <f>E5/H5*1000000</f>
        <v>2335.1391977156459</v>
      </c>
      <c r="J5" s="77" t="s">
        <v>14</v>
      </c>
      <c r="K5" s="79" t="s">
        <v>15</v>
      </c>
    </row>
    <row r="6" spans="1:11">
      <c r="A6" s="6">
        <v>2017</v>
      </c>
      <c r="B6" s="83">
        <v>653.99894284000004</v>
      </c>
      <c r="C6" s="63">
        <v>2.9499999999999998E-2</v>
      </c>
      <c r="D6" s="62">
        <f t="shared" ref="D6:D13" si="3">D5*(C5+1)</f>
        <v>1.2517129926630002</v>
      </c>
      <c r="E6" s="10">
        <f t="shared" si="2"/>
        <v>522.48314643489266</v>
      </c>
      <c r="F6" s="31">
        <f>8265467000/10^6</f>
        <v>8265.4670000000006</v>
      </c>
      <c r="G6" s="13">
        <f t="shared" si="0"/>
        <v>6.3212779923371862E-2</v>
      </c>
      <c r="H6" s="29">
        <v>236228</v>
      </c>
      <c r="I6" s="35">
        <f t="shared" si="1"/>
        <v>2211.7748380162075</v>
      </c>
      <c r="J6" s="8" t="s">
        <v>16</v>
      </c>
      <c r="K6" s="3" t="s">
        <v>17</v>
      </c>
    </row>
    <row r="7" spans="1:11">
      <c r="A7" s="6">
        <v>2018</v>
      </c>
      <c r="B7" s="83">
        <v>667.49018623999996</v>
      </c>
      <c r="C7" s="63">
        <v>3.7499999999999999E-2</v>
      </c>
      <c r="D7" s="62">
        <f t="shared" si="3"/>
        <v>1.2886385259465587</v>
      </c>
      <c r="E7" s="10">
        <f t="shared" si="2"/>
        <v>517.98093320987789</v>
      </c>
      <c r="F7" s="31">
        <f>8537314000/10^6</f>
        <v>8537.3140000000003</v>
      </c>
      <c r="G7" s="13">
        <f t="shared" si="0"/>
        <v>6.0672587796334755E-2</v>
      </c>
      <c r="H7" s="6">
        <v>237286</v>
      </c>
      <c r="I7" s="35">
        <f t="shared" si="1"/>
        <v>2182.9392935524129</v>
      </c>
      <c r="J7" s="77" t="s">
        <v>18</v>
      </c>
      <c r="K7" s="3" t="s">
        <v>19</v>
      </c>
    </row>
    <row r="8" spans="1:11">
      <c r="A8" s="6">
        <v>2019</v>
      </c>
      <c r="B8" s="83">
        <v>745.55564560000005</v>
      </c>
      <c r="C8" s="63">
        <v>4.3099999999999999E-2</v>
      </c>
      <c r="D8" s="62">
        <f t="shared" si="3"/>
        <v>1.3369624706695549</v>
      </c>
      <c r="E8" s="10">
        <f t="shared" si="2"/>
        <v>557.64889587859818</v>
      </c>
      <c r="F8" s="31">
        <f>9549062000/10^6</f>
        <v>9549.0619999999999</v>
      </c>
      <c r="G8" s="13">
        <f t="shared" si="0"/>
        <v>5.839829041623127E-2</v>
      </c>
      <c r="H8" s="29">
        <v>239639</v>
      </c>
      <c r="I8" s="35">
        <f t="shared" si="1"/>
        <v>2327.0373181268415</v>
      </c>
      <c r="J8" s="81" t="s">
        <v>7</v>
      </c>
      <c r="K8" s="3" t="s">
        <v>20</v>
      </c>
    </row>
    <row r="9" spans="1:11">
      <c r="A9" s="6">
        <v>2020</v>
      </c>
      <c r="B9" s="83">
        <v>846.21318439000004</v>
      </c>
      <c r="C9" s="63">
        <v>4.5199999999999997E-2</v>
      </c>
      <c r="D9" s="62">
        <f t="shared" si="3"/>
        <v>1.3945855531554125</v>
      </c>
      <c r="E9" s="10">
        <f t="shared" si="2"/>
        <v>606.7847056606488</v>
      </c>
      <c r="F9" s="31">
        <f>9248447000/10^6</f>
        <v>9248.4470000000001</v>
      </c>
      <c r="G9" s="13">
        <f t="shared" si="0"/>
        <v>6.5609361837792743E-2</v>
      </c>
      <c r="H9" s="29">
        <v>241835</v>
      </c>
      <c r="I9" s="35">
        <f t="shared" si="1"/>
        <v>2509.0855569319942</v>
      </c>
      <c r="J9" s="77" t="s">
        <v>8</v>
      </c>
      <c r="K9" s="3" t="s">
        <v>21</v>
      </c>
    </row>
    <row r="10" spans="1:11">
      <c r="A10" s="6">
        <v>2021</v>
      </c>
      <c r="B10" s="83">
        <v>1028.96391152</v>
      </c>
      <c r="C10" s="63">
        <v>0.10059999999999999</v>
      </c>
      <c r="D10" s="62">
        <f t="shared" si="3"/>
        <v>1.457620820158037</v>
      </c>
      <c r="E10" s="10">
        <f t="shared" si="2"/>
        <v>705.92015240866181</v>
      </c>
      <c r="F10" s="31">
        <f>12655800000/10^6</f>
        <v>12655.8</v>
      </c>
      <c r="G10" s="13">
        <f t="shared" si="0"/>
        <v>5.5778390335550647E-2</v>
      </c>
      <c r="H10" s="29">
        <v>243950</v>
      </c>
      <c r="I10" s="35">
        <f t="shared" si="1"/>
        <v>2893.7083517469227</v>
      </c>
      <c r="J10" s="77" t="s">
        <v>9</v>
      </c>
      <c r="K10" s="3" t="s">
        <v>22</v>
      </c>
    </row>
    <row r="11" spans="1:11">
      <c r="A11" s="6">
        <v>2022</v>
      </c>
      <c r="B11" s="83">
        <v>1117.01331781</v>
      </c>
      <c r="C11" s="63">
        <v>5.79E-2</v>
      </c>
      <c r="D11" s="62">
        <f t="shared" si="3"/>
        <v>1.6042574746659355</v>
      </c>
      <c r="E11" s="10">
        <f t="shared" si="2"/>
        <v>696.28057556197621</v>
      </c>
      <c r="F11" s="31">
        <f>14818544000/10^6</f>
        <v>14818.544</v>
      </c>
      <c r="G11" s="13">
        <f t="shared" si="0"/>
        <v>4.6987111254788341E-2</v>
      </c>
      <c r="H11" s="29">
        <v>227397</v>
      </c>
      <c r="I11" s="35">
        <f t="shared" si="1"/>
        <v>3061.9602526065701</v>
      </c>
      <c r="J11" s="9"/>
    </row>
    <row r="12" spans="1:11">
      <c r="A12" s="6">
        <v>2023</v>
      </c>
      <c r="B12" s="84">
        <v>1298.5717819900001</v>
      </c>
      <c r="C12" s="63">
        <v>4.6199999999999998E-2</v>
      </c>
      <c r="D12" s="62">
        <f t="shared" si="3"/>
        <v>1.6971439824490933</v>
      </c>
      <c r="E12" s="10">
        <f t="shared" si="2"/>
        <v>765.15121605420507</v>
      </c>
      <c r="F12" s="31">
        <f>14904465000/10^6</f>
        <v>14904.465</v>
      </c>
      <c r="G12" s="13">
        <f t="shared" si="0"/>
        <v>5.1337046720845401E-2</v>
      </c>
      <c r="H12" s="76">
        <v>232664</v>
      </c>
      <c r="I12" s="35">
        <f t="shared" si="1"/>
        <v>3288.6532340809281</v>
      </c>
      <c r="J12" s="9"/>
    </row>
    <row r="13" spans="1:11">
      <c r="A13" s="6">
        <v>2024</v>
      </c>
      <c r="B13" s="83">
        <v>1437.2479310699998</v>
      </c>
      <c r="C13" s="63">
        <v>4.8300000000000003E-2</v>
      </c>
      <c r="D13" s="62">
        <f t="shared" si="3"/>
        <v>1.7755520344382414</v>
      </c>
      <c r="E13" s="10">
        <f t="shared" si="2"/>
        <v>809.46539622237765</v>
      </c>
      <c r="F13" s="77" t="s">
        <v>23</v>
      </c>
      <c r="G13" s="13"/>
      <c r="H13" s="29">
        <v>237931</v>
      </c>
      <c r="I13" s="35">
        <f t="shared" si="1"/>
        <v>3402.1014337029546</v>
      </c>
      <c r="J13" s="9"/>
    </row>
    <row r="14" spans="1:11">
      <c r="J14" s="9"/>
    </row>
    <row r="15" spans="1:11" ht="15.75">
      <c r="A15" s="107" t="s">
        <v>24</v>
      </c>
      <c r="B15" s="107"/>
      <c r="C15" s="107"/>
      <c r="D15" s="107"/>
      <c r="E15" s="107"/>
      <c r="F15" s="107"/>
      <c r="G15" s="107"/>
      <c r="H15" s="107"/>
      <c r="I15" s="107"/>
      <c r="J15" s="9"/>
    </row>
    <row r="16" spans="1:11" ht="30.75">
      <c r="A16" s="37" t="s">
        <v>25</v>
      </c>
      <c r="B16" s="53" t="s">
        <v>2</v>
      </c>
      <c r="C16" s="70" t="s">
        <v>3</v>
      </c>
      <c r="D16" s="60" t="s">
        <v>4</v>
      </c>
      <c r="E16" s="53" t="s">
        <v>5</v>
      </c>
      <c r="F16" s="24" t="s">
        <v>6</v>
      </c>
      <c r="G16" s="74" t="s">
        <v>7</v>
      </c>
      <c r="H16" s="82" t="s">
        <v>8</v>
      </c>
      <c r="I16" s="24" t="s">
        <v>9</v>
      </c>
      <c r="J16" s="17"/>
    </row>
    <row r="17" spans="1:10">
      <c r="A17" s="40">
        <v>2014</v>
      </c>
      <c r="B17" s="85">
        <v>706.84982464999996</v>
      </c>
      <c r="C17" s="61">
        <v>6.4100000000000004E-2</v>
      </c>
      <c r="D17" s="62">
        <v>1</v>
      </c>
      <c r="E17" s="54">
        <f>B17*D17</f>
        <v>706.84982464999996</v>
      </c>
      <c r="F17" s="7">
        <v>5053.0659999999998</v>
      </c>
      <c r="G17" s="14">
        <f>B17/F17</f>
        <v>0.13988533390420785</v>
      </c>
      <c r="H17" s="29">
        <v>227168</v>
      </c>
      <c r="I17" s="12">
        <f>E17/H17*1000000</f>
        <v>3111.5730413174388</v>
      </c>
      <c r="J17" s="32"/>
    </row>
    <row r="18" spans="1:10">
      <c r="A18" s="40">
        <v>2015</v>
      </c>
      <c r="B18" s="85">
        <v>632.74173326000005</v>
      </c>
      <c r="C18" s="63">
        <v>0.1067</v>
      </c>
      <c r="D18" s="62">
        <f>D17*(C17+1)</f>
        <v>1.0641</v>
      </c>
      <c r="E18" s="54">
        <f>B18/D18</f>
        <v>594.62619421107036</v>
      </c>
      <c r="F18" s="7">
        <v>4312.9799999999996</v>
      </c>
      <c r="G18" s="14">
        <f t="shared" ref="G18:G27" si="4">B18/F18</f>
        <v>0.14670639169669233</v>
      </c>
      <c r="H18" s="29">
        <v>229007</v>
      </c>
      <c r="I18" s="12">
        <f t="shared" ref="I18:I27" si="5">E18/H18*1000000</f>
        <v>2596.5415651533372</v>
      </c>
      <c r="J18" s="32"/>
    </row>
    <row r="19" spans="1:10">
      <c r="A19" s="40">
        <v>2016</v>
      </c>
      <c r="B19" s="85">
        <v>511.87078924999997</v>
      </c>
      <c r="C19" s="63">
        <v>6.2899999999999998E-2</v>
      </c>
      <c r="D19" s="62">
        <f>D18*(C18+1)</f>
        <v>1.1776394700000001</v>
      </c>
      <c r="E19" s="54">
        <f t="shared" ref="E19:E26" si="6">B19/D19</f>
        <v>434.6583163096596</v>
      </c>
      <c r="F19" s="7">
        <v>4350.4430000000002</v>
      </c>
      <c r="G19" s="14">
        <f t="shared" si="4"/>
        <v>0.1176594634730302</v>
      </c>
      <c r="H19" s="29">
        <v>230786</v>
      </c>
      <c r="I19" s="12">
        <f t="shared" si="5"/>
        <v>1883.3825115460193</v>
      </c>
      <c r="J19" s="32"/>
    </row>
    <row r="20" spans="1:10">
      <c r="A20" s="40">
        <v>2017</v>
      </c>
      <c r="B20" s="85">
        <v>498.36141068000001</v>
      </c>
      <c r="C20" s="63">
        <v>2.9499999999999998E-2</v>
      </c>
      <c r="D20" s="62">
        <f t="shared" ref="D20:D27" si="7">D19*(C19+1)</f>
        <v>1.2517129926630002</v>
      </c>
      <c r="E20" s="54">
        <f t="shared" si="6"/>
        <v>398.14351500797619</v>
      </c>
      <c r="F20" s="7">
        <v>4186.7060000000001</v>
      </c>
      <c r="G20" s="14">
        <f t="shared" si="4"/>
        <v>0.11903425047758309</v>
      </c>
      <c r="H20" s="29">
        <v>232394</v>
      </c>
      <c r="I20" s="12">
        <f t="shared" si="5"/>
        <v>1713.2263096636582</v>
      </c>
      <c r="J20" s="32"/>
    </row>
    <row r="21" spans="1:10">
      <c r="A21" s="40">
        <v>2018</v>
      </c>
      <c r="B21" s="85">
        <v>562.74227026999995</v>
      </c>
      <c r="C21" s="63">
        <v>3.7499999999999999E-2</v>
      </c>
      <c r="D21" s="62">
        <f t="shared" si="7"/>
        <v>1.2886385259465587</v>
      </c>
      <c r="E21" s="54">
        <f t="shared" si="6"/>
        <v>436.69520888849905</v>
      </c>
      <c r="F21" s="7">
        <v>4486.9790000000003</v>
      </c>
      <c r="G21" s="14">
        <f t="shared" si="4"/>
        <v>0.12541673813717424</v>
      </c>
      <c r="H21" s="29">
        <v>238695</v>
      </c>
      <c r="I21" s="12">
        <f t="shared" si="5"/>
        <v>1829.5113382705924</v>
      </c>
      <c r="J21" s="32"/>
    </row>
    <row r="22" spans="1:10">
      <c r="A22" s="40">
        <v>2019</v>
      </c>
      <c r="B22" s="85">
        <v>750.42586169000003</v>
      </c>
      <c r="C22" s="63">
        <v>4.3099999999999999E-2</v>
      </c>
      <c r="D22" s="62">
        <f t="shared" si="7"/>
        <v>1.3369624706695549</v>
      </c>
      <c r="E22" s="54">
        <f t="shared" si="6"/>
        <v>561.29164292411622</v>
      </c>
      <c r="F22" s="7">
        <v>4933.3770000000004</v>
      </c>
      <c r="G22" s="14">
        <f t="shared" si="4"/>
        <v>0.15211200394577587</v>
      </c>
      <c r="H22" s="29">
        <v>240592</v>
      </c>
      <c r="I22" s="12">
        <f t="shared" si="5"/>
        <v>2332.9605428448008</v>
      </c>
      <c r="J22" s="32"/>
    </row>
    <row r="23" spans="1:10">
      <c r="A23" s="40">
        <v>2020</v>
      </c>
      <c r="B23" s="85">
        <v>731.18157592</v>
      </c>
      <c r="C23" s="63">
        <v>4.5199999999999997E-2</v>
      </c>
      <c r="D23" s="62">
        <f t="shared" si="7"/>
        <v>1.3945855531554125</v>
      </c>
      <c r="E23" s="54">
        <f t="shared" si="6"/>
        <v>524.30026559906378</v>
      </c>
      <c r="F23" s="7">
        <v>5422.0860000000002</v>
      </c>
      <c r="G23" s="14">
        <f t="shared" si="4"/>
        <v>0.13485244902423163</v>
      </c>
      <c r="H23" s="29">
        <v>242543</v>
      </c>
      <c r="I23" s="12">
        <f t="shared" si="5"/>
        <v>2161.6796427811305</v>
      </c>
      <c r="J23" s="32"/>
    </row>
    <row r="24" spans="1:10">
      <c r="A24" s="40">
        <v>2021</v>
      </c>
      <c r="B24" s="85">
        <v>970.71833866999998</v>
      </c>
      <c r="C24" s="63">
        <v>0.10059999999999999</v>
      </c>
      <c r="D24" s="62">
        <f t="shared" si="7"/>
        <v>1.457620820158037</v>
      </c>
      <c r="E24" s="54">
        <f t="shared" si="6"/>
        <v>665.96080767064893</v>
      </c>
      <c r="F24" s="7">
        <v>5640.6779999999999</v>
      </c>
      <c r="G24" s="14">
        <f t="shared" si="4"/>
        <v>0.17209249290067613</v>
      </c>
      <c r="H24" s="29">
        <v>244416</v>
      </c>
      <c r="I24" s="12">
        <f t="shared" si="5"/>
        <v>2724.7021785425213</v>
      </c>
      <c r="J24" s="32"/>
    </row>
    <row r="25" spans="1:10">
      <c r="A25" s="40">
        <v>2022</v>
      </c>
      <c r="B25" s="85">
        <v>1015.04695377</v>
      </c>
      <c r="C25" s="63">
        <v>5.79E-2</v>
      </c>
      <c r="D25" s="62">
        <f t="shared" si="7"/>
        <v>1.6042574746659355</v>
      </c>
      <c r="E25" s="54">
        <f t="shared" si="6"/>
        <v>632.72072581826023</v>
      </c>
      <c r="F25" s="7">
        <v>5640.9409999999998</v>
      </c>
      <c r="G25" s="14">
        <f t="shared" si="4"/>
        <v>0.17994284176523032</v>
      </c>
      <c r="H25" s="29">
        <v>224267</v>
      </c>
      <c r="I25" s="12">
        <f t="shared" si="5"/>
        <v>2821.2832285546256</v>
      </c>
      <c r="J25" s="32"/>
    </row>
    <row r="26" spans="1:10">
      <c r="A26" s="40">
        <v>2023</v>
      </c>
      <c r="B26" s="85">
        <v>956.75995580999995</v>
      </c>
      <c r="C26" s="63">
        <v>4.6199999999999998E-2</v>
      </c>
      <c r="D26" s="62">
        <f t="shared" si="7"/>
        <v>1.6971439824490933</v>
      </c>
      <c r="E26" s="54">
        <f t="shared" si="6"/>
        <v>563.74707491189452</v>
      </c>
      <c r="F26" s="7">
        <v>6278.393</v>
      </c>
      <c r="G26" s="14">
        <f t="shared" ref="G26:G27" si="8">B26/F26</f>
        <v>0.15238930659644911</v>
      </c>
      <c r="H26" s="76">
        <v>232154</v>
      </c>
      <c r="I26" s="12">
        <f t="shared" si="5"/>
        <v>2428.3323781278573</v>
      </c>
      <c r="J26" s="32"/>
    </row>
    <row r="27" spans="1:10">
      <c r="A27" s="40">
        <v>2024</v>
      </c>
      <c r="B27" s="56">
        <v>1067.80645968</v>
      </c>
      <c r="C27" s="63">
        <v>4.8300000000000003E-2</v>
      </c>
      <c r="D27" s="62">
        <f t="shared" si="7"/>
        <v>1.7755520344382414</v>
      </c>
      <c r="E27" s="54">
        <f>B27/D27</f>
        <v>601.39406729233838</v>
      </c>
      <c r="F27" s="78" t="s">
        <v>23</v>
      </c>
      <c r="G27" s="14"/>
      <c r="H27" s="29">
        <v>240040</v>
      </c>
      <c r="I27" s="12">
        <f t="shared" si="5"/>
        <v>2505.3910485433194</v>
      </c>
      <c r="J27" s="32"/>
    </row>
    <row r="29" spans="1:10">
      <c r="A29" s="104" t="s">
        <v>26</v>
      </c>
      <c r="B29" s="104"/>
      <c r="C29" s="104"/>
      <c r="D29" s="104"/>
      <c r="E29" s="104"/>
      <c r="F29" s="104"/>
      <c r="G29" s="104"/>
      <c r="H29" s="104"/>
      <c r="I29" s="104"/>
    </row>
  </sheetData>
  <mergeCells count="3">
    <mergeCell ref="A29:I29"/>
    <mergeCell ref="A1:I1"/>
    <mergeCell ref="A15:I15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E4397-CB53-4B8F-870B-192BBCE95BAD}">
  <dimension ref="A1:F26"/>
  <sheetViews>
    <sheetView workbookViewId="0">
      <selection activeCell="G3" sqref="G3"/>
    </sheetView>
  </sheetViews>
  <sheetFormatPr defaultRowHeight="15"/>
  <cols>
    <col min="1" max="1" width="16.5703125" customWidth="1"/>
    <col min="2" max="2" width="24.140625" customWidth="1"/>
    <col min="3" max="3" width="17.28515625" customWidth="1"/>
    <col min="4" max="4" width="20.28515625" bestFit="1" customWidth="1"/>
  </cols>
  <sheetData>
    <row r="1" spans="1:6">
      <c r="A1" s="103" t="s">
        <v>27</v>
      </c>
      <c r="B1" s="103"/>
      <c r="C1" s="103"/>
      <c r="D1" s="103"/>
    </row>
    <row r="2" spans="1:6">
      <c r="A2" s="11" t="s">
        <v>1</v>
      </c>
      <c r="B2" s="16" t="s">
        <v>18</v>
      </c>
      <c r="C2" s="6" t="s">
        <v>8</v>
      </c>
      <c r="D2" s="16" t="s">
        <v>28</v>
      </c>
    </row>
    <row r="3" spans="1:6">
      <c r="A3" s="6">
        <v>2014</v>
      </c>
      <c r="B3" s="6" t="s">
        <v>29</v>
      </c>
      <c r="C3" s="33">
        <v>30696.37</v>
      </c>
      <c r="D3" s="18">
        <v>11013.03</v>
      </c>
      <c r="F3" s="17"/>
    </row>
    <row r="4" spans="1:6">
      <c r="A4" s="6">
        <v>2015</v>
      </c>
      <c r="B4" s="6" t="s">
        <v>30</v>
      </c>
      <c r="C4" s="33">
        <v>31232.797999999999</v>
      </c>
      <c r="D4" s="18">
        <v>9648.7000000000007</v>
      </c>
      <c r="F4" s="17"/>
    </row>
    <row r="5" spans="1:6">
      <c r="A5" s="6">
        <v>2016</v>
      </c>
      <c r="B5" s="6" t="s">
        <v>31</v>
      </c>
      <c r="C5" s="33">
        <v>31789.68</v>
      </c>
      <c r="D5" s="18">
        <v>9476.5</v>
      </c>
      <c r="F5" s="17"/>
    </row>
    <row r="6" spans="1:6">
      <c r="A6" s="6">
        <v>2017</v>
      </c>
      <c r="B6" s="6" t="s">
        <v>32</v>
      </c>
      <c r="C6" s="33">
        <v>32355.644</v>
      </c>
      <c r="D6" s="18">
        <v>9862.5</v>
      </c>
      <c r="F6" s="17"/>
    </row>
    <row r="7" spans="1:6">
      <c r="A7" s="6">
        <v>2018</v>
      </c>
      <c r="B7" s="6" t="s">
        <v>33</v>
      </c>
      <c r="C7" s="33">
        <v>32910.966999999997</v>
      </c>
      <c r="D7" s="18">
        <v>10901.8</v>
      </c>
      <c r="F7" s="17"/>
    </row>
    <row r="8" spans="1:6">
      <c r="A8" s="6">
        <v>2019</v>
      </c>
      <c r="B8" s="6" t="s">
        <v>34</v>
      </c>
      <c r="C8" s="33">
        <v>33440.595999999998</v>
      </c>
      <c r="D8" s="18">
        <v>10920.2</v>
      </c>
      <c r="F8" s="17"/>
    </row>
    <row r="9" spans="1:6">
      <c r="A9" s="6">
        <v>2020</v>
      </c>
      <c r="B9" s="6" t="s">
        <v>35</v>
      </c>
      <c r="C9" s="33">
        <v>33889.557999999997</v>
      </c>
      <c r="D9" s="18">
        <v>9957.5</v>
      </c>
      <c r="F9" s="17"/>
    </row>
    <row r="10" spans="1:6">
      <c r="A10" s="6">
        <v>2021</v>
      </c>
      <c r="B10" s="6" t="s">
        <v>36</v>
      </c>
      <c r="C10" s="33">
        <v>34282.398999999998</v>
      </c>
      <c r="D10" s="18">
        <v>10903.1</v>
      </c>
      <c r="F10" s="17"/>
    </row>
    <row r="11" spans="1:6">
      <c r="A11" s="6">
        <v>2022</v>
      </c>
      <c r="B11" s="6" t="s">
        <v>37</v>
      </c>
      <c r="C11" s="33">
        <v>34695.493000000002</v>
      </c>
      <c r="D11" s="18">
        <v>11754.6</v>
      </c>
      <c r="F11" s="17"/>
    </row>
    <row r="12" spans="1:6">
      <c r="A12" s="6">
        <v>2023</v>
      </c>
      <c r="B12" s="6" t="s">
        <v>38</v>
      </c>
      <c r="C12" s="33">
        <v>35126.298000000003</v>
      </c>
      <c r="D12" s="18">
        <v>11386</v>
      </c>
      <c r="F12" s="17"/>
    </row>
    <row r="13" spans="1:6">
      <c r="A13" s="6">
        <v>2024</v>
      </c>
      <c r="B13" s="6" t="s">
        <v>39</v>
      </c>
      <c r="C13" s="33">
        <v>35557.673000000003</v>
      </c>
      <c r="D13" s="18">
        <v>11874.43</v>
      </c>
      <c r="F13" s="17"/>
    </row>
    <row r="15" spans="1:6">
      <c r="A15" s="11" t="s">
        <v>1</v>
      </c>
      <c r="B15" s="16" t="s">
        <v>40</v>
      </c>
    </row>
    <row r="16" spans="1:6">
      <c r="A16" s="6">
        <v>2014</v>
      </c>
      <c r="B16" s="18">
        <f>'QUESTÃO 2'!D3</f>
        <v>11013.03</v>
      </c>
    </row>
    <row r="17" spans="1:2">
      <c r="A17" s="6">
        <v>2015</v>
      </c>
      <c r="B17" s="18">
        <f>'QUESTÃO 2'!D4</f>
        <v>9648.7000000000007</v>
      </c>
    </row>
    <row r="18" spans="1:2">
      <c r="A18" s="6">
        <v>2016</v>
      </c>
      <c r="B18" s="18">
        <f>'QUESTÃO 2'!D5</f>
        <v>9476.5</v>
      </c>
    </row>
    <row r="19" spans="1:2">
      <c r="A19" s="6">
        <v>2017</v>
      </c>
      <c r="B19" s="18">
        <f>'QUESTÃO 2'!D6</f>
        <v>9862.5</v>
      </c>
    </row>
    <row r="20" spans="1:2">
      <c r="A20" s="6">
        <v>2018</v>
      </c>
      <c r="B20" s="18">
        <f>'QUESTÃO 2'!D7</f>
        <v>10901.8</v>
      </c>
    </row>
    <row r="21" spans="1:2">
      <c r="A21" s="6">
        <v>2019</v>
      </c>
      <c r="B21" s="18">
        <f>'QUESTÃO 2'!D8</f>
        <v>10920.2</v>
      </c>
    </row>
    <row r="22" spans="1:2">
      <c r="A22" s="6">
        <v>2020</v>
      </c>
      <c r="B22" s="18">
        <f>'QUESTÃO 2'!D9</f>
        <v>9957.5</v>
      </c>
    </row>
    <row r="23" spans="1:2">
      <c r="A23" s="6">
        <v>2021</v>
      </c>
      <c r="B23" s="18">
        <f>'QUESTÃO 2'!D10</f>
        <v>10903.1</v>
      </c>
    </row>
    <row r="24" spans="1:2">
      <c r="A24" s="6">
        <v>2022</v>
      </c>
      <c r="B24" s="18">
        <f>'QUESTÃO 2'!D11</f>
        <v>11754.6</v>
      </c>
    </row>
    <row r="25" spans="1:2">
      <c r="A25" s="6">
        <v>2023</v>
      </c>
      <c r="B25" s="18">
        <f>'QUESTÃO 2'!D12</f>
        <v>11386</v>
      </c>
    </row>
    <row r="26" spans="1:2">
      <c r="A26" s="6">
        <v>2024</v>
      </c>
      <c r="B26" s="18">
        <f>'QUESTÃO 2'!D13</f>
        <v>11874.43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91475-B72D-47F3-A337-D0A7A76397D5}">
  <dimension ref="A1:L35"/>
  <sheetViews>
    <sheetView workbookViewId="0"/>
  </sheetViews>
  <sheetFormatPr defaultRowHeight="15"/>
  <cols>
    <col min="1" max="1" width="16.42578125" customWidth="1"/>
    <col min="2" max="2" width="14.7109375" customWidth="1"/>
    <col min="3" max="3" width="18" customWidth="1"/>
    <col min="4" max="5" width="16.5703125" bestFit="1" customWidth="1"/>
    <col min="6" max="7" width="17.7109375" bestFit="1" customWidth="1"/>
    <col min="8" max="9" width="16.5703125" bestFit="1" customWidth="1"/>
    <col min="10" max="10" width="15.5703125" bestFit="1" customWidth="1"/>
    <col min="11" max="11" width="16.5703125" bestFit="1" customWidth="1"/>
    <col min="12" max="12" width="19.28515625" bestFit="1" customWidth="1"/>
  </cols>
  <sheetData>
    <row r="1" spans="1:12">
      <c r="A1" t="s">
        <v>41</v>
      </c>
      <c r="B1" s="36" t="s">
        <v>42</v>
      </c>
    </row>
    <row r="3" spans="1:12">
      <c r="B3" s="108" t="s">
        <v>25</v>
      </c>
      <c r="C3" s="109" t="s">
        <v>43</v>
      </c>
      <c r="D3" s="109"/>
      <c r="E3" s="109"/>
      <c r="F3" s="109"/>
      <c r="G3" s="109"/>
      <c r="H3" s="109"/>
      <c r="I3" s="109" t="s">
        <v>44</v>
      </c>
      <c r="J3" s="109"/>
      <c r="K3" s="109"/>
      <c r="L3" s="108" t="s">
        <v>45</v>
      </c>
    </row>
    <row r="4" spans="1:12">
      <c r="B4" s="108"/>
      <c r="C4" s="37" t="s">
        <v>46</v>
      </c>
      <c r="D4" s="38" t="s">
        <v>47</v>
      </c>
      <c r="E4" s="38" t="s">
        <v>48</v>
      </c>
      <c r="F4" s="38" t="s">
        <v>49</v>
      </c>
      <c r="G4" s="38" t="s">
        <v>50</v>
      </c>
      <c r="H4" s="38" t="s">
        <v>51</v>
      </c>
      <c r="I4" s="38" t="s">
        <v>52</v>
      </c>
      <c r="J4" s="38" t="s">
        <v>53</v>
      </c>
      <c r="K4" s="38" t="s">
        <v>54</v>
      </c>
      <c r="L4" s="108"/>
    </row>
    <row r="5" spans="1:12">
      <c r="A5" s="39" t="s">
        <v>55</v>
      </c>
      <c r="B5" s="40">
        <v>2024</v>
      </c>
      <c r="C5" s="41">
        <v>267.45998494999998</v>
      </c>
      <c r="D5" s="42">
        <v>29.893944250000001</v>
      </c>
      <c r="E5" s="42">
        <v>25.365601829999999</v>
      </c>
      <c r="F5" s="42">
        <v>125.45180189</v>
      </c>
      <c r="G5" s="42">
        <v>861.3734761799999</v>
      </c>
      <c r="H5" s="42">
        <v>15.49847383</v>
      </c>
      <c r="I5" s="42">
        <v>84.306752169999996</v>
      </c>
      <c r="J5" s="42">
        <v>3.8742502000000001</v>
      </c>
      <c r="K5" s="43">
        <v>24.023645769999998</v>
      </c>
      <c r="L5" s="44">
        <f>SUM(C5:K5)</f>
        <v>1437.2479310699998</v>
      </c>
    </row>
    <row r="6" spans="1:12">
      <c r="A6" s="45" t="s">
        <v>56</v>
      </c>
      <c r="B6" s="46">
        <v>2024</v>
      </c>
      <c r="C6" s="47">
        <v>219.67181159</v>
      </c>
      <c r="D6" s="48">
        <v>41.964603500000003</v>
      </c>
      <c r="E6" s="48">
        <v>30.218466620000001</v>
      </c>
      <c r="F6" s="48">
        <v>5.0411826099999999</v>
      </c>
      <c r="G6" s="48">
        <v>725.82916811000007</v>
      </c>
      <c r="H6" s="48">
        <v>26.992601219999997</v>
      </c>
      <c r="I6" s="48">
        <v>3.8054785099999999</v>
      </c>
      <c r="J6" s="49">
        <v>3.8942800000000004E-3</v>
      </c>
      <c r="K6" s="48">
        <v>14.279253240000001</v>
      </c>
      <c r="L6" s="48">
        <v>1067.80645968</v>
      </c>
    </row>
    <row r="7" spans="1:12">
      <c r="A7" s="50"/>
      <c r="B7" s="17"/>
      <c r="C7" s="51"/>
      <c r="D7" s="52"/>
      <c r="E7" s="52"/>
      <c r="F7" s="52"/>
      <c r="G7" s="52"/>
      <c r="H7" s="52"/>
      <c r="I7" s="52"/>
      <c r="J7" s="52"/>
    </row>
    <row r="8" spans="1:12" ht="14.45" customHeight="1">
      <c r="B8" s="37" t="s">
        <v>57</v>
      </c>
      <c r="C8" s="37" t="s">
        <v>58</v>
      </c>
      <c r="D8" s="52"/>
      <c r="E8" s="52"/>
      <c r="F8" s="52"/>
      <c r="G8" s="52"/>
      <c r="H8" s="52"/>
      <c r="I8" s="52"/>
      <c r="J8" s="52"/>
    </row>
    <row r="9" spans="1:12" ht="27.6" customHeight="1">
      <c r="A9" s="37" t="s">
        <v>25</v>
      </c>
      <c r="B9" s="53" t="s">
        <v>2</v>
      </c>
      <c r="C9" s="53" t="s">
        <v>2</v>
      </c>
      <c r="D9" s="52"/>
      <c r="E9" s="52"/>
      <c r="F9" s="52"/>
      <c r="G9" s="52"/>
      <c r="H9" s="52"/>
      <c r="I9" s="52"/>
      <c r="J9" s="52"/>
    </row>
    <row r="10" spans="1:12" ht="14.45" customHeight="1">
      <c r="A10" s="40">
        <v>2014</v>
      </c>
      <c r="B10" s="54">
        <v>585.34</v>
      </c>
      <c r="C10" s="55">
        <v>706.84982464999996</v>
      </c>
      <c r="D10" s="52"/>
      <c r="E10" s="52"/>
      <c r="F10" s="52"/>
      <c r="G10" s="52"/>
      <c r="H10" s="52"/>
      <c r="I10" s="52"/>
      <c r="J10" s="52"/>
    </row>
    <row r="11" spans="1:12" ht="14.45" customHeight="1">
      <c r="A11" s="40">
        <v>2015</v>
      </c>
      <c r="B11" s="56">
        <v>627.78914155999996</v>
      </c>
      <c r="C11" s="55">
        <v>632.74173326000005</v>
      </c>
      <c r="D11" s="52"/>
      <c r="E11" s="52"/>
      <c r="F11" s="52"/>
      <c r="G11" s="52"/>
      <c r="H11" s="52"/>
      <c r="I11" s="52"/>
      <c r="J11" s="52"/>
    </row>
    <row r="12" spans="1:12" ht="14.45" customHeight="1">
      <c r="A12" s="40">
        <v>2016</v>
      </c>
      <c r="B12" s="56">
        <v>644.09652781</v>
      </c>
      <c r="C12" s="55">
        <v>511.87078924999997</v>
      </c>
      <c r="D12" s="52"/>
      <c r="E12" s="52"/>
      <c r="F12" s="52"/>
      <c r="G12" s="52"/>
      <c r="H12" s="52"/>
      <c r="I12" s="52"/>
      <c r="J12" s="52"/>
    </row>
    <row r="13" spans="1:12" ht="14.45" customHeight="1">
      <c r="A13" s="40">
        <v>2017</v>
      </c>
      <c r="B13" s="56">
        <v>653.99894284000004</v>
      </c>
      <c r="C13" s="55">
        <v>498.36141068000001</v>
      </c>
      <c r="D13" s="52"/>
      <c r="E13" s="52"/>
      <c r="F13" s="52"/>
      <c r="G13" s="52"/>
      <c r="H13" s="52"/>
      <c r="I13" s="52"/>
      <c r="J13" s="52"/>
    </row>
    <row r="14" spans="1:12" ht="14.45" customHeight="1">
      <c r="A14" s="40">
        <v>2018</v>
      </c>
      <c r="B14" s="56">
        <v>667.49018623999996</v>
      </c>
      <c r="C14" s="55">
        <v>562.74227026999995</v>
      </c>
      <c r="D14" s="52"/>
      <c r="E14" s="52"/>
      <c r="F14" s="52"/>
      <c r="G14" s="52"/>
      <c r="H14" s="52"/>
      <c r="I14" s="52"/>
      <c r="J14" s="52"/>
    </row>
    <row r="15" spans="1:12" ht="14.45" customHeight="1">
      <c r="A15" s="40">
        <v>2019</v>
      </c>
      <c r="B15" s="56">
        <v>745.55564560000005</v>
      </c>
      <c r="C15" s="55">
        <v>750.42586169000003</v>
      </c>
      <c r="D15" s="52"/>
      <c r="E15" s="52"/>
      <c r="F15" s="52"/>
      <c r="G15" s="52"/>
      <c r="H15" s="52"/>
      <c r="I15" s="52"/>
      <c r="J15" s="52"/>
    </row>
    <row r="16" spans="1:12" ht="14.45" customHeight="1">
      <c r="A16" s="40">
        <v>2020</v>
      </c>
      <c r="B16" s="56">
        <v>846.21318439000004</v>
      </c>
      <c r="C16" s="55">
        <v>731.18157592</v>
      </c>
      <c r="D16" s="52"/>
      <c r="E16" s="52"/>
      <c r="F16" s="52"/>
      <c r="G16" s="52"/>
      <c r="H16" s="52"/>
      <c r="I16" s="52"/>
      <c r="J16" s="52"/>
    </row>
    <row r="17" spans="1:3" ht="14.45" customHeight="1">
      <c r="A17" s="40">
        <v>2021</v>
      </c>
      <c r="B17" s="56">
        <v>1028.96391152</v>
      </c>
      <c r="C17" s="55">
        <v>970.71833866999998</v>
      </c>
    </row>
    <row r="18" spans="1:3" ht="14.45" customHeight="1">
      <c r="A18" s="40">
        <v>2022</v>
      </c>
      <c r="B18" s="56">
        <v>1117.01331781</v>
      </c>
      <c r="C18" s="55">
        <v>1015.04695377</v>
      </c>
    </row>
    <row r="19" spans="1:3" ht="14.45" customHeight="1">
      <c r="A19" s="40">
        <v>2023</v>
      </c>
      <c r="B19" s="56">
        <v>1298.5717819900001</v>
      </c>
      <c r="C19" s="55">
        <v>956.75995580999995</v>
      </c>
    </row>
    <row r="20" spans="1:3" ht="14.45" customHeight="1">
      <c r="A20" s="40">
        <v>2024</v>
      </c>
      <c r="B20" s="56">
        <v>1437.2479310699998</v>
      </c>
      <c r="C20" s="57">
        <v>1067.80645968</v>
      </c>
    </row>
    <row r="23" spans="1:3">
      <c r="C23" s="25"/>
    </row>
    <row r="24" spans="1:3">
      <c r="B24" s="58"/>
    </row>
    <row r="25" spans="1:3">
      <c r="B25" s="32"/>
    </row>
    <row r="26" spans="1:3">
      <c r="B26" s="32"/>
    </row>
    <row r="27" spans="1:3">
      <c r="B27" s="32"/>
    </row>
    <row r="28" spans="1:3">
      <c r="B28" s="32"/>
    </row>
    <row r="29" spans="1:3">
      <c r="B29" s="32"/>
    </row>
    <row r="30" spans="1:3">
      <c r="B30" s="32"/>
    </row>
    <row r="31" spans="1:3">
      <c r="B31" s="32"/>
    </row>
    <row r="32" spans="1:3">
      <c r="B32" s="32"/>
    </row>
    <row r="33" spans="2:2">
      <c r="B33" s="32"/>
    </row>
    <row r="34" spans="2:2">
      <c r="B34" s="32"/>
    </row>
    <row r="35" spans="2:2">
      <c r="B35" s="17"/>
    </row>
  </sheetData>
  <mergeCells count="4">
    <mergeCell ref="B3:B4"/>
    <mergeCell ref="C3:H3"/>
    <mergeCell ref="I3:K3"/>
    <mergeCell ref="L3:L4"/>
  </mergeCells>
  <hyperlinks>
    <hyperlink ref="B1" r:id="rId1" xr:uid="{E7F965A5-E52B-46F8-A8D7-F5EEF2DB7E20}"/>
  </hyperlinks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9EEB4-46C0-4A21-A850-622618D9D169}">
  <dimension ref="A1:E25"/>
  <sheetViews>
    <sheetView workbookViewId="0">
      <selection activeCell="R7" sqref="R7"/>
    </sheetView>
  </sheetViews>
  <sheetFormatPr defaultRowHeight="15"/>
  <cols>
    <col min="1" max="1" width="5.42578125" bestFit="1" customWidth="1"/>
    <col min="2" max="2" width="19" bestFit="1" customWidth="1"/>
    <col min="3" max="3" width="19.7109375" bestFit="1" customWidth="1"/>
    <col min="4" max="5" width="16.42578125" bestFit="1" customWidth="1"/>
  </cols>
  <sheetData>
    <row r="1" spans="1:5">
      <c r="A1" s="24" t="s">
        <v>1</v>
      </c>
      <c r="B1" s="86" t="s">
        <v>59</v>
      </c>
      <c r="C1" s="86" t="s">
        <v>60</v>
      </c>
      <c r="D1" s="89" t="s">
        <v>61</v>
      </c>
      <c r="E1" s="89" t="s">
        <v>62</v>
      </c>
    </row>
    <row r="2" spans="1:5">
      <c r="A2" s="6">
        <v>2014</v>
      </c>
      <c r="B2" s="18">
        <v>585337318.84000003</v>
      </c>
      <c r="C2" s="18">
        <v>645331174</v>
      </c>
      <c r="D2" s="18">
        <v>681915559.11000001</v>
      </c>
      <c r="E2" s="18">
        <v>790437191</v>
      </c>
    </row>
    <row r="3" spans="1:5">
      <c r="A3" s="6">
        <v>2015</v>
      </c>
      <c r="B3" s="18">
        <v>627789141.55999994</v>
      </c>
      <c r="C3" s="18">
        <v>644435731</v>
      </c>
      <c r="D3" s="18">
        <v>589068033</v>
      </c>
      <c r="E3" s="18">
        <v>822342538</v>
      </c>
    </row>
    <row r="4" spans="1:5">
      <c r="A4" s="6">
        <v>2016</v>
      </c>
      <c r="B4" s="18">
        <v>786492781</v>
      </c>
      <c r="C4" s="18">
        <v>621166323</v>
      </c>
      <c r="D4" s="18">
        <v>471523759</v>
      </c>
      <c r="E4" s="18">
        <v>558555254</v>
      </c>
    </row>
    <row r="5" spans="1:5">
      <c r="A5" s="6">
        <v>2017</v>
      </c>
      <c r="B5" s="18">
        <v>591156281</v>
      </c>
      <c r="C5" s="18">
        <v>601259901</v>
      </c>
      <c r="D5" s="18">
        <v>456621665</v>
      </c>
      <c r="E5" s="18">
        <v>497033455</v>
      </c>
    </row>
    <row r="6" spans="1:5">
      <c r="A6" s="6">
        <v>2018</v>
      </c>
      <c r="B6" s="18">
        <v>853468621</v>
      </c>
      <c r="C6" s="18">
        <v>656645938</v>
      </c>
      <c r="D6" s="18">
        <v>511934070</v>
      </c>
      <c r="E6" s="18">
        <v>559656288</v>
      </c>
    </row>
    <row r="7" spans="1:5">
      <c r="A7" s="6">
        <v>2019</v>
      </c>
      <c r="B7" s="18">
        <v>679687827</v>
      </c>
      <c r="C7" s="18">
        <v>656290225</v>
      </c>
      <c r="D7" s="18">
        <v>750425861.96000004</v>
      </c>
      <c r="E7" s="18">
        <v>597792199</v>
      </c>
    </row>
    <row r="8" spans="1:5">
      <c r="A8" s="6">
        <v>2020</v>
      </c>
      <c r="B8" s="18">
        <v>781570595</v>
      </c>
      <c r="C8" s="18">
        <v>779638806</v>
      </c>
      <c r="D8" s="18">
        <v>644912635</v>
      </c>
      <c r="E8" s="18">
        <v>654784328</v>
      </c>
    </row>
    <row r="9" spans="1:5">
      <c r="A9" s="6">
        <v>2021</v>
      </c>
      <c r="B9" s="18">
        <v>1244488929</v>
      </c>
      <c r="C9" s="18">
        <v>831346913</v>
      </c>
      <c r="D9" s="18">
        <v>924257901</v>
      </c>
      <c r="E9" s="18">
        <v>702955391</v>
      </c>
    </row>
    <row r="10" spans="1:5">
      <c r="A10" s="6">
        <v>2022</v>
      </c>
      <c r="B10" s="18">
        <v>1117013317.8099999</v>
      </c>
      <c r="C10" s="18">
        <v>997255336</v>
      </c>
      <c r="D10" s="18">
        <v>1267904458</v>
      </c>
      <c r="E10" s="18">
        <v>956793564.22000003</v>
      </c>
    </row>
    <row r="11" spans="1:5">
      <c r="A11" s="6">
        <v>2023</v>
      </c>
      <c r="B11" s="18">
        <v>1200344139</v>
      </c>
      <c r="C11" s="18">
        <v>1223568670</v>
      </c>
      <c r="D11" s="18">
        <v>1196398391</v>
      </c>
      <c r="E11" s="18">
        <v>1084529334</v>
      </c>
    </row>
    <row r="12" spans="1:5">
      <c r="A12" s="6">
        <v>2024</v>
      </c>
      <c r="B12" s="18">
        <v>1794285991</v>
      </c>
      <c r="C12" s="18">
        <v>1414738002</v>
      </c>
      <c r="D12" s="18">
        <v>1345657064</v>
      </c>
      <c r="E12" s="18">
        <v>1208679451</v>
      </c>
    </row>
    <row r="14" spans="1:5">
      <c r="A14" s="19" t="s">
        <v>1</v>
      </c>
      <c r="B14" s="91" t="s">
        <v>60</v>
      </c>
      <c r="C14" s="90" t="s">
        <v>62</v>
      </c>
    </row>
    <row r="15" spans="1:5">
      <c r="A15" s="6">
        <v>2014</v>
      </c>
      <c r="B15" s="10">
        <f>645331174.21/1000000</f>
        <v>645.33117421000009</v>
      </c>
      <c r="C15" s="10">
        <f>790437191.5/1000000</f>
        <v>790.43719150000004</v>
      </c>
    </row>
    <row r="16" spans="1:5">
      <c r="A16" s="6">
        <v>2015</v>
      </c>
      <c r="B16" s="10">
        <f>644435731.48/1000000</f>
        <v>644.43573148000007</v>
      </c>
      <c r="C16" s="10">
        <f>822342538.02/1000000</f>
        <v>822.34253802000001</v>
      </c>
    </row>
    <row r="17" spans="1:3">
      <c r="A17" s="6">
        <v>2016</v>
      </c>
      <c r="B17" s="10">
        <f>621166323.43/1000000</f>
        <v>621.16632342999992</v>
      </c>
      <c r="C17" s="10">
        <f>558555254.47/1000000</f>
        <v>558.55525447000002</v>
      </c>
    </row>
    <row r="18" spans="1:3">
      <c r="A18" s="6">
        <v>2017</v>
      </c>
      <c r="B18" s="10">
        <f>601259901.86/1000000</f>
        <v>601.25990186000001</v>
      </c>
      <c r="C18" s="10">
        <f>497033455.51/1000000</f>
        <v>497.03345551000001</v>
      </c>
    </row>
    <row r="19" spans="1:3">
      <c r="A19" s="6">
        <v>2018</v>
      </c>
      <c r="B19" s="10">
        <f>656645938.1/1000000</f>
        <v>656.64593810000008</v>
      </c>
      <c r="C19" s="10">
        <f>559656288.3/1000000</f>
        <v>559.65628829999991</v>
      </c>
    </row>
    <row r="20" spans="1:3">
      <c r="A20" s="6">
        <v>2019</v>
      </c>
      <c r="B20" s="10">
        <f>656290225.41/1000000</f>
        <v>656.29022540999995</v>
      </c>
      <c r="C20" s="10">
        <f>597792199.46/1000000</f>
        <v>597.79219946000001</v>
      </c>
    </row>
    <row r="21" spans="1:3">
      <c r="A21" s="6">
        <v>2020</v>
      </c>
      <c r="B21" s="10">
        <f>779638806.58/1000000</f>
        <v>779.63880658000005</v>
      </c>
      <c r="C21" s="10">
        <f>654784328.46/1000000</f>
        <v>654.78432845999998</v>
      </c>
    </row>
    <row r="22" spans="1:3">
      <c r="A22" s="6">
        <v>2021</v>
      </c>
      <c r="B22" s="10">
        <f>831346913.82/1000000</f>
        <v>831.34691382000005</v>
      </c>
      <c r="C22" s="10">
        <f>702955391.93/1000000</f>
        <v>702.95539192999991</v>
      </c>
    </row>
    <row r="23" spans="1:3">
      <c r="A23" s="6">
        <v>2022</v>
      </c>
      <c r="B23" s="10">
        <f>997255336.12/1000000</f>
        <v>997.25533612000004</v>
      </c>
      <c r="C23" s="18">
        <f>956793564.22/1000000</f>
        <v>956.79356422000001</v>
      </c>
    </row>
    <row r="24" spans="1:3">
      <c r="A24" s="6">
        <v>2023</v>
      </c>
      <c r="B24" s="10">
        <f>1223568670.24/1000000</f>
        <v>1223.5686702400001</v>
      </c>
      <c r="C24" s="18">
        <f>1084529334/1000000</f>
        <v>1084.5293340000001</v>
      </c>
    </row>
    <row r="25" spans="1:3">
      <c r="A25" s="6">
        <v>2024</v>
      </c>
      <c r="B25" s="10">
        <f>1414738001.91/1000000</f>
        <v>1414.7380019100001</v>
      </c>
      <c r="C25" s="10">
        <f>1208679451.17/1000000</f>
        <v>1208.67945117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C4D9E-5682-4A98-ABBB-FB4CAF9B7E5B}">
  <dimension ref="A1:L14"/>
  <sheetViews>
    <sheetView workbookViewId="0">
      <selection activeCell="E10" sqref="E10"/>
    </sheetView>
  </sheetViews>
  <sheetFormatPr defaultRowHeight="15"/>
  <cols>
    <col min="1" max="1" width="5.42578125" bestFit="1" customWidth="1"/>
    <col min="2" max="2" width="16.140625" bestFit="1" customWidth="1"/>
    <col min="3" max="3" width="18.85546875" bestFit="1" customWidth="1"/>
    <col min="4" max="4" width="10.5703125" bestFit="1" customWidth="1"/>
    <col min="5" max="5" width="12.85546875" bestFit="1" customWidth="1"/>
  </cols>
  <sheetData>
    <row r="1" spans="1:12">
      <c r="A1" s="111" t="s">
        <v>63</v>
      </c>
      <c r="B1" s="111"/>
      <c r="C1" s="111"/>
    </row>
    <row r="2" spans="1:12">
      <c r="A2" s="19" t="s">
        <v>1</v>
      </c>
      <c r="B2" s="19" t="s">
        <v>64</v>
      </c>
      <c r="C2" s="19" t="s">
        <v>65</v>
      </c>
      <c r="D2" s="88" t="s">
        <v>66</v>
      </c>
      <c r="I2" s="21" t="s">
        <v>67</v>
      </c>
    </row>
    <row r="3" spans="1:12">
      <c r="A3" s="3">
        <v>2014</v>
      </c>
      <c r="B3" s="20">
        <v>162438236.09999999</v>
      </c>
      <c r="C3" s="3">
        <v>29</v>
      </c>
      <c r="D3" s="5">
        <f>CORREL(B3:B7,C3:C7)</f>
        <v>-0.4761444178516494</v>
      </c>
      <c r="E3" t="s">
        <v>68</v>
      </c>
    </row>
    <row r="4" spans="1:12">
      <c r="A4" s="3">
        <v>2015</v>
      </c>
      <c r="B4" s="20">
        <v>200719310.78</v>
      </c>
      <c r="C4" s="3">
        <v>35</v>
      </c>
      <c r="I4" s="21" t="s">
        <v>69</v>
      </c>
    </row>
    <row r="5" spans="1:12">
      <c r="A5" s="3">
        <v>2018</v>
      </c>
      <c r="B5" s="20">
        <v>216462509.81999999</v>
      </c>
      <c r="C5" s="3">
        <v>30</v>
      </c>
    </row>
    <row r="6" spans="1:12">
      <c r="A6" s="3">
        <v>2019</v>
      </c>
      <c r="B6" s="20">
        <v>224372831.40000001</v>
      </c>
      <c r="C6" s="3">
        <v>37</v>
      </c>
    </row>
    <row r="7" spans="1:12">
      <c r="A7" s="3">
        <v>2020</v>
      </c>
      <c r="B7" s="20">
        <v>287933685.02999997</v>
      </c>
      <c r="C7" s="3">
        <v>23</v>
      </c>
    </row>
    <row r="8" spans="1:12" ht="15.75">
      <c r="K8" s="26"/>
      <c r="L8" s="26"/>
    </row>
    <row r="9" spans="1:12" ht="15.75">
      <c r="A9" s="110" t="s">
        <v>70</v>
      </c>
      <c r="B9" s="110"/>
      <c r="C9" s="110"/>
      <c r="K9" s="26"/>
      <c r="L9" s="26"/>
    </row>
    <row r="10" spans="1:12" ht="15.75">
      <c r="A10" s="19" t="s">
        <v>1</v>
      </c>
      <c r="B10" s="19" t="s">
        <v>64</v>
      </c>
      <c r="C10" s="87" t="s">
        <v>65</v>
      </c>
      <c r="D10" s="88" t="s">
        <v>66</v>
      </c>
      <c r="K10" s="26"/>
      <c r="L10" s="26"/>
    </row>
    <row r="11" spans="1:12" ht="15.75">
      <c r="A11" s="3">
        <v>2014</v>
      </c>
      <c r="B11" s="20">
        <v>207687008.75</v>
      </c>
      <c r="C11" s="28">
        <v>37</v>
      </c>
      <c r="D11" s="5">
        <f>CORREL(B11:B14,C11:C14)</f>
        <v>-0.1843505301798892</v>
      </c>
      <c r="E11" t="s">
        <v>71</v>
      </c>
      <c r="K11" s="26"/>
      <c r="L11" s="26"/>
    </row>
    <row r="12" spans="1:12" ht="15.75">
      <c r="A12" s="3">
        <v>2015</v>
      </c>
      <c r="B12" s="20">
        <v>214941609.40000001</v>
      </c>
      <c r="C12" s="27">
        <v>42</v>
      </c>
      <c r="K12" s="26"/>
      <c r="L12" s="26"/>
    </row>
    <row r="13" spans="1:12" ht="15.75">
      <c r="A13" s="3">
        <v>2019</v>
      </c>
      <c r="B13" s="20">
        <v>137632653.97999999</v>
      </c>
      <c r="C13" s="27">
        <v>44</v>
      </c>
      <c r="K13" s="26"/>
      <c r="L13" s="26"/>
    </row>
    <row r="14" spans="1:12" ht="15.75">
      <c r="A14" s="3">
        <v>2020</v>
      </c>
      <c r="B14" s="20">
        <v>182550099.52000001</v>
      </c>
      <c r="C14" s="27">
        <v>26</v>
      </c>
    </row>
  </sheetData>
  <mergeCells count="2">
    <mergeCell ref="A9:C9"/>
    <mergeCell ref="A1:C1"/>
  </mergeCells>
  <hyperlinks>
    <hyperlink ref="I4" r:id="rId1" xr:uid="{1D035452-F990-40C9-B046-326E21D160EC}"/>
    <hyperlink ref="I2" r:id="rId2" xr:uid="{3E279300-572D-4A15-B746-BA6A15A909B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7A56A-3B4D-467D-9CD0-371E6B789C1E}">
  <dimension ref="A1:L11"/>
  <sheetViews>
    <sheetView workbookViewId="0">
      <selection activeCell="G15" sqref="G15"/>
    </sheetView>
  </sheetViews>
  <sheetFormatPr defaultRowHeight="15"/>
  <cols>
    <col min="1" max="1" width="8.28515625" customWidth="1"/>
    <col min="2" max="2" width="17" bestFit="1" customWidth="1"/>
    <col min="3" max="3" width="13.7109375" bestFit="1" customWidth="1"/>
    <col min="4" max="4" width="15.7109375" bestFit="1" customWidth="1"/>
    <col min="10" max="10" width="21.28515625" bestFit="1" customWidth="1"/>
    <col min="11" max="11" width="17" bestFit="1" customWidth="1"/>
    <col min="12" max="12" width="18.85546875" bestFit="1" customWidth="1"/>
  </cols>
  <sheetData>
    <row r="1" spans="1:12">
      <c r="A1" s="106" t="s">
        <v>72</v>
      </c>
      <c r="B1" s="106"/>
      <c r="C1" s="106"/>
      <c r="D1" s="106"/>
      <c r="I1" s="112" t="s">
        <v>70</v>
      </c>
      <c r="J1" s="112"/>
      <c r="K1" s="112"/>
      <c r="L1" s="112"/>
    </row>
    <row r="2" spans="1:12">
      <c r="A2" s="24" t="s">
        <v>1</v>
      </c>
      <c r="B2" s="24" t="s">
        <v>73</v>
      </c>
      <c r="C2" s="24" t="s">
        <v>74</v>
      </c>
      <c r="D2" s="24" t="s">
        <v>75</v>
      </c>
      <c r="I2" s="24" t="s">
        <v>1</v>
      </c>
      <c r="J2" s="24" t="s">
        <v>76</v>
      </c>
      <c r="K2" s="24" t="s">
        <v>77</v>
      </c>
      <c r="L2" s="24" t="s">
        <v>78</v>
      </c>
    </row>
    <row r="3" spans="1:12">
      <c r="A3" s="6">
        <v>2016</v>
      </c>
      <c r="B3" s="29">
        <v>117853596</v>
      </c>
      <c r="C3" s="29">
        <v>786492781</v>
      </c>
      <c r="D3" s="30">
        <f>B3/C3</f>
        <v>0.14984701556974622</v>
      </c>
      <c r="I3" s="6">
        <v>2015</v>
      </c>
      <c r="J3" s="18">
        <v>186391360.90000001</v>
      </c>
      <c r="K3" s="18">
        <v>589068033.89999998</v>
      </c>
      <c r="L3" s="13">
        <f>J3/K3</f>
        <v>0.31641737485901628</v>
      </c>
    </row>
    <row r="4" spans="1:12">
      <c r="A4" s="6">
        <v>2017</v>
      </c>
      <c r="B4" s="29">
        <v>122488852</v>
      </c>
      <c r="C4" s="29">
        <v>591156281</v>
      </c>
      <c r="D4" s="30">
        <f t="shared" ref="D4:D10" si="0">B4/C4</f>
        <v>0.20720214930779024</v>
      </c>
      <c r="I4" s="6">
        <v>2016</v>
      </c>
      <c r="J4" s="18">
        <v>81313506.099999994</v>
      </c>
      <c r="K4" s="18">
        <v>471523759.10000002</v>
      </c>
      <c r="L4" s="13">
        <f t="shared" ref="L4:L11" si="1">J4/K4</f>
        <v>0.17244837514699901</v>
      </c>
    </row>
    <row r="5" spans="1:12">
      <c r="A5" s="6">
        <v>2018</v>
      </c>
      <c r="B5" s="29">
        <v>100930536</v>
      </c>
      <c r="C5" s="29">
        <v>853468621</v>
      </c>
      <c r="D5" s="30">
        <f t="shared" si="0"/>
        <v>0.11825922303006381</v>
      </c>
      <c r="I5" s="6">
        <v>2017</v>
      </c>
      <c r="J5" s="18">
        <v>74259671.700000003</v>
      </c>
      <c r="K5" s="18">
        <v>456621665.69999999</v>
      </c>
      <c r="L5" s="13">
        <f t="shared" si="1"/>
        <v>0.16262844555603836</v>
      </c>
    </row>
    <row r="6" spans="1:12">
      <c r="A6" s="6">
        <v>2019</v>
      </c>
      <c r="B6" s="29">
        <v>143327711</v>
      </c>
      <c r="C6" s="29">
        <v>679687827</v>
      </c>
      <c r="D6" s="30">
        <f t="shared" si="0"/>
        <v>0.21087285266328595</v>
      </c>
      <c r="I6" s="6">
        <v>2018</v>
      </c>
      <c r="J6" s="18">
        <v>102484320.09999999</v>
      </c>
      <c r="K6" s="18">
        <v>511934070.30000001</v>
      </c>
      <c r="L6" s="13">
        <f t="shared" si="1"/>
        <v>0.20019046601048227</v>
      </c>
    </row>
    <row r="7" spans="1:12">
      <c r="A7" s="6">
        <v>2020</v>
      </c>
      <c r="B7" s="29">
        <v>134048601</v>
      </c>
      <c r="C7" s="29">
        <v>781570595</v>
      </c>
      <c r="D7" s="30">
        <f t="shared" si="0"/>
        <v>0.17151182741208426</v>
      </c>
      <c r="I7" s="6">
        <v>2020</v>
      </c>
      <c r="J7" s="18">
        <v>138313821.52000001</v>
      </c>
      <c r="K7" s="18">
        <v>644912635.35000002</v>
      </c>
      <c r="L7" s="13">
        <f t="shared" si="1"/>
        <v>0.21446908300212761</v>
      </c>
    </row>
    <row r="8" spans="1:12">
      <c r="A8" s="6">
        <v>2021</v>
      </c>
      <c r="B8" s="29">
        <v>177780068</v>
      </c>
      <c r="C8" s="29">
        <v>1244488929</v>
      </c>
      <c r="D8" s="30">
        <f t="shared" si="0"/>
        <v>0.14285387668563182</v>
      </c>
      <c r="I8" s="6">
        <v>2021</v>
      </c>
      <c r="J8" s="18">
        <v>152023708.40000001</v>
      </c>
      <c r="K8" s="18">
        <v>924257901.02999997</v>
      </c>
      <c r="L8" s="13">
        <f t="shared" si="1"/>
        <v>0.16448191379330773</v>
      </c>
    </row>
    <row r="9" spans="1:12">
      <c r="A9" s="6">
        <v>2023</v>
      </c>
      <c r="B9" s="29">
        <v>235469984</v>
      </c>
      <c r="C9" s="29">
        <v>1200344139</v>
      </c>
      <c r="D9" s="30">
        <f t="shared" si="0"/>
        <v>0.19616872890816855</v>
      </c>
      <c r="I9" s="6">
        <v>2022</v>
      </c>
      <c r="J9" s="18">
        <v>176345253.27000001</v>
      </c>
      <c r="K9" s="18">
        <v>1267904458.6900001</v>
      </c>
      <c r="L9" s="13">
        <f t="shared" si="1"/>
        <v>0.13908402329636105</v>
      </c>
    </row>
    <row r="10" spans="1:12">
      <c r="A10" s="6">
        <v>2024</v>
      </c>
      <c r="B10" s="29">
        <v>260495145</v>
      </c>
      <c r="C10" s="29">
        <v>1794285991</v>
      </c>
      <c r="D10" s="30">
        <f t="shared" si="0"/>
        <v>0.14518039281732317</v>
      </c>
      <c r="I10" s="6">
        <v>2023</v>
      </c>
      <c r="J10" s="18">
        <v>183989153.19999999</v>
      </c>
      <c r="K10" s="18">
        <v>1196398391.4000001</v>
      </c>
      <c r="L10" s="13">
        <f t="shared" si="1"/>
        <v>0.15378585805744838</v>
      </c>
    </row>
    <row r="11" spans="1:12">
      <c r="I11" s="6">
        <v>2024</v>
      </c>
      <c r="J11" s="18">
        <v>219671811.59</v>
      </c>
      <c r="K11" s="18">
        <v>1345657064.29</v>
      </c>
      <c r="L11" s="13">
        <f t="shared" si="1"/>
        <v>0.16324501793174473</v>
      </c>
    </row>
  </sheetData>
  <mergeCells count="2">
    <mergeCell ref="A1:D1"/>
    <mergeCell ref="I1:L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B4533-9066-4655-AAA6-53B1A014CB7F}">
  <dimension ref="A1:J10"/>
  <sheetViews>
    <sheetView tabSelected="1" workbookViewId="0">
      <selection activeCell="O23" sqref="O23"/>
    </sheetView>
  </sheetViews>
  <sheetFormatPr defaultRowHeight="15"/>
  <cols>
    <col min="2" max="3" width="20.28515625" bestFit="1" customWidth="1"/>
    <col min="6" max="6" width="20.28515625" bestFit="1" customWidth="1"/>
    <col min="7" max="8" width="21.5703125" bestFit="1" customWidth="1"/>
    <col min="9" max="9" width="12.42578125" bestFit="1" customWidth="1"/>
  </cols>
  <sheetData>
    <row r="1" spans="1:10">
      <c r="A1" s="111" t="s">
        <v>63</v>
      </c>
      <c r="B1" s="111"/>
      <c r="C1" s="111"/>
      <c r="F1" s="17"/>
      <c r="G1" s="113" t="s">
        <v>79</v>
      </c>
      <c r="H1" s="113"/>
      <c r="I1" s="113"/>
    </row>
    <row r="2" spans="1:10">
      <c r="A2" s="24" t="s">
        <v>1</v>
      </c>
      <c r="B2" s="24" t="s">
        <v>80</v>
      </c>
      <c r="C2" s="24" t="s">
        <v>81</v>
      </c>
      <c r="D2" t="s">
        <v>82</v>
      </c>
      <c r="F2" s="25"/>
      <c r="G2" s="24" t="s">
        <v>1</v>
      </c>
      <c r="H2" s="24" t="s">
        <v>80</v>
      </c>
      <c r="I2" s="24" t="s">
        <v>81</v>
      </c>
      <c r="J2" t="s">
        <v>82</v>
      </c>
    </row>
    <row r="3" spans="1:10">
      <c r="A3" s="6">
        <v>2016</v>
      </c>
      <c r="B3" s="7">
        <f>786492781.92/1000000</f>
        <v>786.49278191999997</v>
      </c>
      <c r="C3" s="31">
        <f>7268417000/1000000</f>
        <v>7268.4170000000004</v>
      </c>
      <c r="D3">
        <f>SLOPE(B3:B9,C3:C9)</f>
        <v>7.8726494787993498E-2</v>
      </c>
      <c r="G3" s="6">
        <v>2015</v>
      </c>
      <c r="H3" s="7">
        <f>589068033.9/1000000</f>
        <v>589.06803389999993</v>
      </c>
      <c r="I3" s="7">
        <f>4312980000/1000000</f>
        <v>4312.9799999999996</v>
      </c>
      <c r="J3">
        <f>SLOPE(H3:H10,I3:I10)</f>
        <v>0.36481087939307977</v>
      </c>
    </row>
    <row r="4" spans="1:10">
      <c r="A4" s="6">
        <v>2017</v>
      </c>
      <c r="B4" s="7">
        <f>591156281.62/1000000</f>
        <v>591.15628161999996</v>
      </c>
      <c r="C4" s="31">
        <f>8265467000/1000000</f>
        <v>8265.4670000000006</v>
      </c>
      <c r="G4" s="6">
        <v>2016</v>
      </c>
      <c r="H4" s="7">
        <f>471523759.1/1000000</f>
        <v>471.52375910000001</v>
      </c>
      <c r="I4" s="7">
        <f>4350443000/1000000</f>
        <v>4350.4430000000002</v>
      </c>
    </row>
    <row r="5" spans="1:10">
      <c r="A5" s="6">
        <v>2018</v>
      </c>
      <c r="B5" s="7">
        <f>853468621.51/1000000</f>
        <v>853.46862150999993</v>
      </c>
      <c r="C5" s="31">
        <f>8537314000/1000000</f>
        <v>8537.3140000000003</v>
      </c>
      <c r="G5" s="6">
        <v>2017</v>
      </c>
      <c r="H5" s="7">
        <f>456621665.7/1000000</f>
        <v>456.62166569999999</v>
      </c>
      <c r="I5" s="7">
        <f>4186706000/1000000</f>
        <v>4186.7060000000001</v>
      </c>
    </row>
    <row r="6" spans="1:10">
      <c r="A6" s="6">
        <v>2019</v>
      </c>
      <c r="B6" s="7">
        <f>679687827.57/1000000</f>
        <v>679.68782757000008</v>
      </c>
      <c r="C6" s="31">
        <f>9549062000/1000000</f>
        <v>9549.0619999999999</v>
      </c>
      <c r="G6" s="6">
        <v>2018</v>
      </c>
      <c r="H6" s="7">
        <f>511934070.3/1000000</f>
        <v>511.93407030000003</v>
      </c>
      <c r="I6" s="7">
        <f>4486979000/1000000</f>
        <v>4486.9790000000003</v>
      </c>
    </row>
    <row r="7" spans="1:10">
      <c r="A7" s="6">
        <v>2020</v>
      </c>
      <c r="B7" s="7">
        <f>781570595.7/1000000</f>
        <v>781.57059570000001</v>
      </c>
      <c r="C7" s="31">
        <f>9248447000/1000000</f>
        <v>9248.4470000000001</v>
      </c>
      <c r="G7" s="6">
        <v>2020</v>
      </c>
      <c r="H7" s="7">
        <f>644912635.35/1000000</f>
        <v>644.91263535000007</v>
      </c>
      <c r="I7" s="7">
        <f>5422086000/1000000</f>
        <v>5422.0860000000002</v>
      </c>
    </row>
    <row r="8" spans="1:10">
      <c r="A8" s="6">
        <v>2021</v>
      </c>
      <c r="B8" s="7">
        <f>1244488929.85/1000000</f>
        <v>1244.48892985</v>
      </c>
      <c r="C8" s="31">
        <f>12655800000/1000000</f>
        <v>12655.8</v>
      </c>
      <c r="G8" s="6">
        <v>2021</v>
      </c>
      <c r="H8" s="7">
        <f>924257901.03/1000000</f>
        <v>924.25790102999997</v>
      </c>
      <c r="I8" s="7">
        <f>5640678000/1000000</f>
        <v>5640.6779999999999</v>
      </c>
    </row>
    <row r="9" spans="1:10">
      <c r="A9" s="6">
        <v>2023</v>
      </c>
      <c r="B9" s="7">
        <f>1200344139.87/1000000</f>
        <v>1200.3441398699999</v>
      </c>
      <c r="C9" s="31">
        <f>14904465000/1000000</f>
        <v>14904.465</v>
      </c>
      <c r="G9" s="6">
        <v>2022</v>
      </c>
      <c r="H9" s="7">
        <f>1267904458.69/1000000</f>
        <v>1267.90445869</v>
      </c>
      <c r="I9" s="7">
        <f>5640941000/1000000</f>
        <v>5640.9409999999998</v>
      </c>
    </row>
    <row r="10" spans="1:10">
      <c r="G10" s="6">
        <v>2023</v>
      </c>
      <c r="H10" s="7">
        <f>1196398391.4/1000000</f>
        <v>1196.3983914</v>
      </c>
      <c r="I10" s="7">
        <f>6278393000/1000000</f>
        <v>6278.393</v>
      </c>
    </row>
  </sheetData>
  <mergeCells count="2">
    <mergeCell ref="A1:C1"/>
    <mergeCell ref="G1:I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7704-2796-4E6E-9331-5018554795C9}">
  <dimension ref="A2:J78"/>
  <sheetViews>
    <sheetView topLeftCell="A37" zoomScale="70" zoomScaleNormal="70" workbookViewId="0">
      <selection activeCell="D19" sqref="D19"/>
    </sheetView>
  </sheetViews>
  <sheetFormatPr defaultRowHeight="15"/>
  <cols>
    <col min="1" max="1" width="16.42578125" customWidth="1"/>
    <col min="2" max="3" width="18" customWidth="1"/>
    <col min="4" max="5" width="20.28515625" customWidth="1"/>
    <col min="6" max="6" width="20.140625" customWidth="1"/>
    <col min="7" max="7" width="17.7109375" bestFit="1" customWidth="1"/>
    <col min="8" max="9" width="16.5703125" bestFit="1" customWidth="1"/>
    <col min="10" max="10" width="15.5703125" bestFit="1" customWidth="1"/>
    <col min="11" max="11" width="16.5703125" bestFit="1" customWidth="1"/>
    <col min="12" max="12" width="19.28515625" bestFit="1" customWidth="1"/>
  </cols>
  <sheetData>
    <row r="2" spans="1:10">
      <c r="A2" t="s">
        <v>41</v>
      </c>
      <c r="B2" s="36" t="s">
        <v>42</v>
      </c>
      <c r="C2" s="36" t="s">
        <v>83</v>
      </c>
    </row>
    <row r="3" spans="1:10">
      <c r="A3" s="50"/>
      <c r="B3" s="17"/>
      <c r="C3" s="51"/>
      <c r="D3" s="52"/>
      <c r="E3" s="52"/>
      <c r="F3" s="52"/>
      <c r="G3" s="52"/>
      <c r="H3" s="52"/>
      <c r="I3" s="52"/>
      <c r="J3" s="52"/>
    </row>
    <row r="4" spans="1:10" ht="14.45" customHeight="1">
      <c r="B4" s="94" t="s">
        <v>55</v>
      </c>
      <c r="C4" s="37"/>
      <c r="D4" s="52"/>
      <c r="E4" s="52"/>
      <c r="F4" s="52"/>
      <c r="G4" s="52"/>
      <c r="H4" s="52"/>
      <c r="I4" s="52"/>
      <c r="J4" s="52"/>
    </row>
    <row r="5" spans="1:10" ht="43.15" customHeight="1">
      <c r="A5" s="37" t="s">
        <v>25</v>
      </c>
      <c r="B5" s="53" t="s">
        <v>2</v>
      </c>
      <c r="C5" s="59" t="s">
        <v>3</v>
      </c>
      <c r="D5" s="60" t="s">
        <v>4</v>
      </c>
      <c r="E5" s="53" t="s">
        <v>5</v>
      </c>
      <c r="F5" s="53" t="s">
        <v>84</v>
      </c>
      <c r="G5" s="52"/>
      <c r="H5" s="52"/>
      <c r="I5" s="52"/>
      <c r="J5" s="52"/>
    </row>
    <row r="6" spans="1:10" ht="14.45" customHeight="1">
      <c r="A6" s="40">
        <v>2014</v>
      </c>
      <c r="B6" s="64">
        <v>585.34</v>
      </c>
      <c r="C6" s="61">
        <v>6.4100000000000004E-2</v>
      </c>
      <c r="D6" s="62">
        <v>1</v>
      </c>
      <c r="E6" s="54">
        <f>B6*D6</f>
        <v>585.34</v>
      </c>
      <c r="F6" s="54">
        <f t="shared" ref="F6:F16" si="0">E6/B66*1000000</f>
        <v>2546.2074845467555</v>
      </c>
      <c r="G6" s="65"/>
      <c r="H6" s="52"/>
      <c r="I6" s="52"/>
      <c r="J6" s="52"/>
    </row>
    <row r="7" spans="1:10" ht="14.45" customHeight="1">
      <c r="A7" s="40">
        <v>2015</v>
      </c>
      <c r="B7" s="66">
        <v>627.78914155999996</v>
      </c>
      <c r="C7" s="63">
        <v>0.1067</v>
      </c>
      <c r="D7" s="62">
        <f>D6*(C6+1)</f>
        <v>1.0641</v>
      </c>
      <c r="E7" s="54">
        <f>B7/D7</f>
        <v>589.97194019359074</v>
      </c>
      <c r="F7" s="54">
        <f t="shared" si="0"/>
        <v>2541.8102004402745</v>
      </c>
      <c r="G7" s="65"/>
      <c r="H7" s="52"/>
      <c r="I7" s="52"/>
      <c r="J7" s="52"/>
    </row>
    <row r="8" spans="1:10" ht="14.45" customHeight="1">
      <c r="A8" s="40">
        <v>2016</v>
      </c>
      <c r="B8" s="66">
        <v>644.09652781</v>
      </c>
      <c r="C8" s="63">
        <v>6.2899999999999998E-2</v>
      </c>
      <c r="D8" s="62">
        <f>D7*(C7+1)</f>
        <v>1.1776394700000001</v>
      </c>
      <c r="E8" s="54">
        <f t="shared" ref="E8:E16" si="1">B8/D8</f>
        <v>546.93863802815633</v>
      </c>
      <c r="F8" s="54">
        <f t="shared" si="0"/>
        <v>2335.1391977156459</v>
      </c>
      <c r="G8" s="65"/>
      <c r="H8" s="52"/>
      <c r="I8" s="52"/>
      <c r="J8" s="52"/>
    </row>
    <row r="9" spans="1:10" ht="14.45" customHeight="1">
      <c r="A9" s="40">
        <v>2017</v>
      </c>
      <c r="B9" s="66">
        <v>653.99894284000004</v>
      </c>
      <c r="C9" s="63">
        <v>2.9499999999999998E-2</v>
      </c>
      <c r="D9" s="62">
        <f t="shared" ref="D9:D16" si="2">D8*(C8+1)</f>
        <v>1.2517129926630002</v>
      </c>
      <c r="E9" s="54">
        <f t="shared" si="1"/>
        <v>522.48314643489266</v>
      </c>
      <c r="F9" s="54">
        <f t="shared" si="0"/>
        <v>2211.7748380162075</v>
      </c>
      <c r="G9" s="65"/>
      <c r="H9" s="52"/>
      <c r="I9" s="52"/>
      <c r="J9" s="52"/>
    </row>
    <row r="10" spans="1:10" ht="14.45" customHeight="1">
      <c r="A10" s="40">
        <v>2018</v>
      </c>
      <c r="B10" s="66">
        <v>667.49018623999996</v>
      </c>
      <c r="C10" s="63">
        <v>3.7499999999999999E-2</v>
      </c>
      <c r="D10" s="62">
        <f t="shared" si="2"/>
        <v>1.2886385259465587</v>
      </c>
      <c r="E10" s="54">
        <f t="shared" si="1"/>
        <v>517.98093320987789</v>
      </c>
      <c r="F10" s="54">
        <f t="shared" si="0"/>
        <v>2182.9392935524129</v>
      </c>
      <c r="G10" s="65"/>
      <c r="H10" s="52"/>
      <c r="I10" s="52"/>
      <c r="J10" s="52"/>
    </row>
    <row r="11" spans="1:10" ht="14.45" customHeight="1">
      <c r="A11" s="40">
        <v>2019</v>
      </c>
      <c r="B11" s="66">
        <v>745.55564560000005</v>
      </c>
      <c r="C11" s="63">
        <v>4.3099999999999999E-2</v>
      </c>
      <c r="D11" s="62">
        <f t="shared" si="2"/>
        <v>1.3369624706695549</v>
      </c>
      <c r="E11" s="54">
        <f t="shared" si="1"/>
        <v>557.64889587859818</v>
      </c>
      <c r="F11" s="54">
        <f t="shared" si="0"/>
        <v>2327.0373181268415</v>
      </c>
      <c r="G11" s="65"/>
      <c r="H11" s="52"/>
      <c r="I11" s="52"/>
      <c r="J11" s="52"/>
    </row>
    <row r="12" spans="1:10" ht="14.45" customHeight="1">
      <c r="A12" s="40">
        <v>2020</v>
      </c>
      <c r="B12" s="66">
        <v>846.21318439000004</v>
      </c>
      <c r="C12" s="63">
        <v>4.5199999999999997E-2</v>
      </c>
      <c r="D12" s="62">
        <f t="shared" si="2"/>
        <v>1.3945855531554125</v>
      </c>
      <c r="E12" s="54">
        <f t="shared" si="1"/>
        <v>606.7847056606488</v>
      </c>
      <c r="F12" s="54">
        <f t="shared" si="0"/>
        <v>2509.0855569319942</v>
      </c>
      <c r="G12" s="65"/>
      <c r="H12" s="52"/>
      <c r="I12" s="52"/>
      <c r="J12" s="52"/>
    </row>
    <row r="13" spans="1:10" ht="14.45" customHeight="1">
      <c r="A13" s="40">
        <v>2021</v>
      </c>
      <c r="B13" s="66">
        <v>1028.96391152</v>
      </c>
      <c r="C13" s="63">
        <v>0.10059999999999999</v>
      </c>
      <c r="D13" s="62">
        <f t="shared" si="2"/>
        <v>1.457620820158037</v>
      </c>
      <c r="E13" s="54">
        <f t="shared" si="1"/>
        <v>705.92015240866181</v>
      </c>
      <c r="F13" s="54">
        <f t="shared" si="0"/>
        <v>2893.7083517469227</v>
      </c>
      <c r="G13" s="65"/>
    </row>
    <row r="14" spans="1:10" ht="14.45" customHeight="1">
      <c r="A14" s="40">
        <v>2022</v>
      </c>
      <c r="B14" s="66">
        <v>1117.01331781</v>
      </c>
      <c r="C14" s="63">
        <v>5.79E-2</v>
      </c>
      <c r="D14" s="62">
        <f t="shared" si="2"/>
        <v>1.6042574746659355</v>
      </c>
      <c r="E14" s="54">
        <f t="shared" si="1"/>
        <v>696.28057556197621</v>
      </c>
      <c r="F14" s="54">
        <f t="shared" si="0"/>
        <v>3061.9602526065701</v>
      </c>
      <c r="G14" s="65"/>
    </row>
    <row r="15" spans="1:10" ht="14.45" customHeight="1">
      <c r="A15" s="40">
        <v>2023</v>
      </c>
      <c r="B15" s="66">
        <v>1298.5717819900001</v>
      </c>
      <c r="C15" s="63">
        <v>4.6199999999999998E-2</v>
      </c>
      <c r="D15" s="62">
        <f t="shared" si="2"/>
        <v>1.6971439824490933</v>
      </c>
      <c r="E15" s="54">
        <f t="shared" si="1"/>
        <v>765.15121605420507</v>
      </c>
      <c r="F15" s="54">
        <f t="shared" si="0"/>
        <v>3288.6532340809281</v>
      </c>
      <c r="G15" s="65"/>
    </row>
    <row r="16" spans="1:10" ht="14.45" customHeight="1">
      <c r="A16" s="40">
        <v>2024</v>
      </c>
      <c r="B16" s="66">
        <v>1437.2479310699998</v>
      </c>
      <c r="C16" s="63">
        <v>4.8300000000000003E-2</v>
      </c>
      <c r="D16" s="62">
        <f t="shared" si="2"/>
        <v>1.7755520344382414</v>
      </c>
      <c r="E16" s="54">
        <f t="shared" si="1"/>
        <v>809.46539622237765</v>
      </c>
      <c r="F16" s="54">
        <f t="shared" si="0"/>
        <v>3402.1014337029546</v>
      </c>
      <c r="G16" s="65"/>
    </row>
    <row r="17" spans="1:7" ht="14.45" customHeight="1">
      <c r="A17" s="17"/>
      <c r="B17" s="32"/>
      <c r="C17" s="67"/>
      <c r="D17" s="68"/>
      <c r="E17" s="69"/>
      <c r="F17" s="69"/>
      <c r="G17" s="65"/>
    </row>
    <row r="18" spans="1:7" ht="14.45" customHeight="1">
      <c r="B18" s="101" t="s">
        <v>85</v>
      </c>
      <c r="C18" s="37"/>
      <c r="D18" s="52"/>
      <c r="E18" s="52"/>
      <c r="F18" s="52"/>
      <c r="G18" s="65"/>
    </row>
    <row r="19" spans="1:7" ht="43.15" customHeight="1">
      <c r="A19" s="37" t="s">
        <v>25</v>
      </c>
      <c r="B19" s="53" t="s">
        <v>2</v>
      </c>
      <c r="C19" s="59" t="s">
        <v>3</v>
      </c>
      <c r="D19" s="60" t="s">
        <v>4</v>
      </c>
      <c r="E19" s="53" t="s">
        <v>5</v>
      </c>
      <c r="F19" s="53" t="s">
        <v>84</v>
      </c>
      <c r="G19" s="65"/>
    </row>
    <row r="20" spans="1:7" ht="14.45" customHeight="1">
      <c r="A20" s="40">
        <v>2014</v>
      </c>
      <c r="B20" s="64">
        <v>71225.512117079998</v>
      </c>
      <c r="C20" s="61">
        <v>6.4100000000000004E-2</v>
      </c>
      <c r="D20" s="62">
        <v>1</v>
      </c>
      <c r="E20" s="54">
        <f>B20*D20</f>
        <v>71225.512117079998</v>
      </c>
      <c r="F20" s="54">
        <f>E20/D66*1000000</f>
        <v>3435.187561680646</v>
      </c>
      <c r="G20" s="65"/>
    </row>
    <row r="21" spans="1:7" ht="14.45" customHeight="1">
      <c r="A21" s="40">
        <v>2015</v>
      </c>
      <c r="B21" s="66">
        <v>73407.402987759997</v>
      </c>
      <c r="C21" s="63">
        <v>0.1067</v>
      </c>
      <c r="D21" s="62">
        <f>D20*(C20+1)</f>
        <v>1.0641</v>
      </c>
      <c r="E21" s="54">
        <f>B21/D21</f>
        <v>68985.43650762146</v>
      </c>
      <c r="F21" s="54">
        <f t="shared" ref="F21:F30" si="3">E21/D67*1000000</f>
        <v>3305.6256955017593</v>
      </c>
      <c r="G21" s="65"/>
    </row>
    <row r="22" spans="1:7" ht="14.45" customHeight="1">
      <c r="A22" s="40">
        <v>2016</v>
      </c>
      <c r="B22" s="66">
        <v>78518.824244100004</v>
      </c>
      <c r="C22" s="63">
        <v>6.2899999999999998E-2</v>
      </c>
      <c r="D22" s="62">
        <f>D21*(C21+1)</f>
        <v>1.1776394700000001</v>
      </c>
      <c r="E22" s="54">
        <f t="shared" ref="E22:E30" si="4">B22/D22</f>
        <v>66674.755937061112</v>
      </c>
      <c r="F22" s="54">
        <f t="shared" si="3"/>
        <v>3175.3573242348689</v>
      </c>
      <c r="G22" s="65"/>
    </row>
    <row r="23" spans="1:7" ht="14.45" customHeight="1">
      <c r="A23" s="40">
        <v>2017</v>
      </c>
      <c r="B23" s="66">
        <v>80812.067550729989</v>
      </c>
      <c r="C23" s="63">
        <v>2.9499999999999998E-2</v>
      </c>
      <c r="D23" s="62">
        <f t="shared" ref="D23:D30" si="5">D22*(C22+1)</f>
        <v>1.2517129926630002</v>
      </c>
      <c r="E23" s="54">
        <f t="shared" si="4"/>
        <v>64561.179778763464</v>
      </c>
      <c r="F23" s="54">
        <f t="shared" si="3"/>
        <v>3056.9412026269642</v>
      </c>
      <c r="G23" s="65"/>
    </row>
    <row r="24" spans="1:7" ht="14.45" customHeight="1">
      <c r="A24" s="40">
        <v>2018</v>
      </c>
      <c r="B24" s="66">
        <v>100746.78245606</v>
      </c>
      <c r="C24" s="63">
        <v>3.7499999999999999E-2</v>
      </c>
      <c r="D24" s="62">
        <f t="shared" si="5"/>
        <v>1.2886385259465587</v>
      </c>
      <c r="E24" s="54">
        <f t="shared" si="4"/>
        <v>78180.793471200377</v>
      </c>
      <c r="F24" s="54">
        <f t="shared" si="3"/>
        <v>3715.7002698489418</v>
      </c>
      <c r="G24" s="65"/>
    </row>
    <row r="25" spans="1:7" ht="14.45" customHeight="1">
      <c r="A25" s="40">
        <v>2019</v>
      </c>
      <c r="B25" s="66">
        <v>92186.590526519998</v>
      </c>
      <c r="C25" s="63">
        <v>4.3099999999999999E-2</v>
      </c>
      <c r="D25" s="62">
        <f t="shared" si="5"/>
        <v>1.3369624706695549</v>
      </c>
      <c r="E25" s="54">
        <f t="shared" si="4"/>
        <v>68952.264965487528</v>
      </c>
      <c r="F25" s="54">
        <f t="shared" si="3"/>
        <v>3257.2604153674874</v>
      </c>
      <c r="G25" s="65"/>
    </row>
    <row r="26" spans="1:7" ht="14.45" customHeight="1">
      <c r="A26" s="40">
        <v>2020</v>
      </c>
      <c r="B26" s="66">
        <v>99781.866142589992</v>
      </c>
      <c r="C26" s="63">
        <v>4.5199999999999997E-2</v>
      </c>
      <c r="D26" s="62">
        <f t="shared" si="5"/>
        <v>1.3945855531554125</v>
      </c>
      <c r="E26" s="54">
        <f t="shared" si="4"/>
        <v>71549.4764138506</v>
      </c>
      <c r="F26" s="54">
        <f t="shared" si="3"/>
        <v>3360.2873596876311</v>
      </c>
      <c r="G26" s="65"/>
    </row>
    <row r="27" spans="1:7" ht="14.45" customHeight="1">
      <c r="A27" s="40">
        <v>2021</v>
      </c>
      <c r="B27" s="66">
        <v>123251.93979709</v>
      </c>
      <c r="C27" s="63">
        <v>0.10059999999999999</v>
      </c>
      <c r="D27" s="62">
        <f t="shared" si="5"/>
        <v>1.457620820158037</v>
      </c>
      <c r="E27" s="54">
        <f t="shared" si="4"/>
        <v>84556.928724252779</v>
      </c>
      <c r="F27" s="54">
        <f t="shared" si="3"/>
        <v>3949.0581357056431</v>
      </c>
      <c r="G27" s="65"/>
    </row>
    <row r="28" spans="1:7" ht="14.45" customHeight="1">
      <c r="A28" s="40">
        <v>2022</v>
      </c>
      <c r="B28" s="66">
        <v>135337.85717499</v>
      </c>
      <c r="C28" s="63">
        <v>5.79E-2</v>
      </c>
      <c r="D28" s="62">
        <f t="shared" si="5"/>
        <v>1.6042574746659355</v>
      </c>
      <c r="E28" s="54">
        <f t="shared" si="4"/>
        <v>84361.680909837902</v>
      </c>
      <c r="F28" s="54">
        <f t="shared" si="3"/>
        <v>4107.4462831535002</v>
      </c>
      <c r="G28" s="65"/>
    </row>
    <row r="29" spans="1:7" ht="14.45" customHeight="1">
      <c r="A29" s="40">
        <v>2023</v>
      </c>
      <c r="B29" s="66">
        <v>138168.42250195998</v>
      </c>
      <c r="C29" s="63">
        <v>4.6199999999999998E-2</v>
      </c>
      <c r="D29" s="62">
        <f t="shared" si="5"/>
        <v>1.6971439824490933</v>
      </c>
      <c r="E29" s="54">
        <f t="shared" si="4"/>
        <v>81412.316179899848</v>
      </c>
      <c r="F29" s="54">
        <f t="shared" si="3"/>
        <v>3889.6117536365759</v>
      </c>
      <c r="G29" s="65"/>
    </row>
    <row r="30" spans="1:7" ht="14.45" customHeight="1">
      <c r="A30" s="40">
        <v>2024</v>
      </c>
      <c r="B30" s="66">
        <v>154226.22324227</v>
      </c>
      <c r="C30" s="63">
        <v>4.8300000000000003E-2</v>
      </c>
      <c r="D30" s="62">
        <f t="shared" si="5"/>
        <v>1.7755520344382414</v>
      </c>
      <c r="E30" s="54">
        <f t="shared" si="4"/>
        <v>86860.998861722983</v>
      </c>
      <c r="F30" s="54">
        <f t="shared" si="3"/>
        <v>4073.6414958938808</v>
      </c>
      <c r="G30" s="65"/>
    </row>
    <row r="31" spans="1:7" ht="14.45" customHeight="1">
      <c r="A31" s="17"/>
      <c r="B31" s="32"/>
      <c r="C31" s="67"/>
      <c r="D31" s="68"/>
      <c r="E31" s="69"/>
      <c r="F31" s="69"/>
      <c r="G31" s="65"/>
    </row>
    <row r="32" spans="1:7" ht="14.45" customHeight="1">
      <c r="A32" s="17"/>
      <c r="B32" s="32"/>
      <c r="C32" s="67"/>
      <c r="D32" s="68"/>
      <c r="E32" s="69"/>
      <c r="F32" s="69"/>
      <c r="G32" s="65"/>
    </row>
    <row r="33" spans="1:7" ht="14.45" customHeight="1">
      <c r="B33" s="100" t="s">
        <v>86</v>
      </c>
      <c r="C33" s="37"/>
      <c r="D33" s="52"/>
      <c r="E33" s="52"/>
      <c r="F33" s="52"/>
      <c r="G33" s="65"/>
    </row>
    <row r="34" spans="1:7" ht="30.75">
      <c r="A34" s="37" t="s">
        <v>25</v>
      </c>
      <c r="B34" s="53" t="s">
        <v>2</v>
      </c>
      <c r="C34" s="59" t="s">
        <v>3</v>
      </c>
      <c r="D34" s="60" t="s">
        <v>4</v>
      </c>
      <c r="E34" s="53" t="s">
        <v>5</v>
      </c>
      <c r="F34" s="53" t="s">
        <v>84</v>
      </c>
      <c r="G34" s="65"/>
    </row>
    <row r="35" spans="1:7" ht="14.45" customHeight="1">
      <c r="A35" s="40">
        <v>2014</v>
      </c>
      <c r="B35" s="64">
        <v>68191.555911000003</v>
      </c>
      <c r="C35" s="61">
        <v>6.4100000000000004E-2</v>
      </c>
      <c r="D35" s="62">
        <v>1</v>
      </c>
      <c r="E35" s="54">
        <f>B35*D35</f>
        <v>68191.555911000003</v>
      </c>
      <c r="F35" s="54">
        <f>E35/E66*1000000</f>
        <v>4142.5696644461486</v>
      </c>
      <c r="G35" s="65"/>
    </row>
    <row r="36" spans="1:7" ht="14.45" customHeight="1">
      <c r="A36" s="40">
        <v>2015</v>
      </c>
      <c r="B36" s="66">
        <v>61436.905897999997</v>
      </c>
      <c r="C36" s="63">
        <v>0.1067</v>
      </c>
      <c r="D36" s="62">
        <f>D35*(C35+1)</f>
        <v>1.0641</v>
      </c>
      <c r="E36" s="54">
        <f>B36/D36</f>
        <v>57736.026593365277</v>
      </c>
      <c r="F36" s="54">
        <f t="shared" ref="F36:F45" si="6">E36/E67*1000000</f>
        <v>3488.5766083097692</v>
      </c>
      <c r="G36" s="65"/>
    </row>
    <row r="37" spans="1:7" ht="14.45" customHeight="1">
      <c r="A37" s="40">
        <v>2016</v>
      </c>
      <c r="B37" s="66">
        <v>50169.036444999998</v>
      </c>
      <c r="C37" s="63">
        <v>6.2899999999999998E-2</v>
      </c>
      <c r="D37" s="62">
        <f>D36*(C36+1)</f>
        <v>1.1776394700000001</v>
      </c>
      <c r="E37" s="54">
        <f t="shared" ref="E37:E45" si="7">B37/D37</f>
        <v>42601.354423862838</v>
      </c>
      <c r="F37" s="54">
        <f t="shared" si="6"/>
        <v>2560.7937405047969</v>
      </c>
      <c r="G37" s="65"/>
    </row>
    <row r="38" spans="1:7" ht="14.45" customHeight="1">
      <c r="A38" s="40">
        <v>2017</v>
      </c>
      <c r="B38" s="66">
        <v>48101.449428</v>
      </c>
      <c r="C38" s="63">
        <v>2.9499999999999998E-2</v>
      </c>
      <c r="D38" s="62">
        <f t="shared" ref="D38:D45" si="8">D37*(C37+1)</f>
        <v>1.2517129926630002</v>
      </c>
      <c r="E38" s="54">
        <f t="shared" si="7"/>
        <v>38428.497355184358</v>
      </c>
      <c r="F38" s="54">
        <f t="shared" si="6"/>
        <v>2298.4986236691066</v>
      </c>
      <c r="G38" s="65"/>
    </row>
    <row r="39" spans="1:7" ht="14.45" customHeight="1">
      <c r="A39" s="40">
        <v>2018</v>
      </c>
      <c r="B39" s="66">
        <v>56274.227027000001</v>
      </c>
      <c r="C39" s="63">
        <v>3.7499999999999999E-2</v>
      </c>
      <c r="D39" s="62">
        <f t="shared" si="8"/>
        <v>1.2886385259465587</v>
      </c>
      <c r="E39" s="54">
        <f t="shared" si="7"/>
        <v>43669.520888849911</v>
      </c>
      <c r="F39" s="54">
        <f t="shared" si="6"/>
        <v>2544.8498066924349</v>
      </c>
      <c r="G39" s="65"/>
    </row>
    <row r="40" spans="1:7" ht="14.45" customHeight="1">
      <c r="A40" s="40">
        <v>2019</v>
      </c>
      <c r="B40" s="66">
        <v>75042.586169000002</v>
      </c>
      <c r="C40" s="63">
        <v>4.3099999999999999E-2</v>
      </c>
      <c r="D40" s="62">
        <f t="shared" si="8"/>
        <v>1.3369624706695549</v>
      </c>
      <c r="E40" s="54">
        <f t="shared" si="7"/>
        <v>56129.164292411624</v>
      </c>
      <c r="F40" s="54">
        <f t="shared" si="6"/>
        <v>3251.048340698931</v>
      </c>
      <c r="G40" s="65"/>
    </row>
    <row r="41" spans="1:7" ht="14.45" customHeight="1">
      <c r="A41" s="40">
        <v>2020</v>
      </c>
      <c r="B41" s="66">
        <v>73118.157592000003</v>
      </c>
      <c r="C41" s="63">
        <v>4.5199999999999997E-2</v>
      </c>
      <c r="D41" s="62">
        <f t="shared" si="8"/>
        <v>1.3945855531554125</v>
      </c>
      <c r="E41" s="54">
        <f t="shared" si="7"/>
        <v>52430.026559906371</v>
      </c>
      <c r="F41" s="54">
        <f t="shared" si="6"/>
        <v>3019.0864881124107</v>
      </c>
      <c r="G41" s="65"/>
    </row>
    <row r="42" spans="1:7" ht="14.45" customHeight="1">
      <c r="A42" s="40">
        <v>2021</v>
      </c>
      <c r="B42" s="66">
        <v>97071.833866999994</v>
      </c>
      <c r="C42" s="63">
        <v>0.10059999999999999</v>
      </c>
      <c r="D42" s="62">
        <f t="shared" si="8"/>
        <v>1.457620820158037</v>
      </c>
      <c r="E42" s="54">
        <f t="shared" si="7"/>
        <v>66596.080767064894</v>
      </c>
      <c r="F42" s="54">
        <f t="shared" si="6"/>
        <v>3813.4770579838323</v>
      </c>
      <c r="G42" s="65"/>
    </row>
    <row r="43" spans="1:7" ht="14.45" customHeight="1">
      <c r="A43" s="40">
        <v>2022</v>
      </c>
      <c r="B43" s="66">
        <v>104274.972547</v>
      </c>
      <c r="C43" s="63">
        <v>5.79E-2</v>
      </c>
      <c r="D43" s="62">
        <f t="shared" si="8"/>
        <v>1.6042574746659355</v>
      </c>
      <c r="E43" s="54">
        <f t="shared" si="7"/>
        <v>64998.900858301327</v>
      </c>
      <c r="F43" s="54">
        <f t="shared" si="6"/>
        <v>4048.6345691906736</v>
      </c>
      <c r="G43" s="65"/>
    </row>
    <row r="44" spans="1:7" ht="14.45" customHeight="1">
      <c r="A44" s="40">
        <v>2023</v>
      </c>
      <c r="B44" s="66">
        <v>102646.15433</v>
      </c>
      <c r="C44" s="63">
        <v>4.6199999999999998E-2</v>
      </c>
      <c r="D44" s="62">
        <f t="shared" si="8"/>
        <v>1.6971439824490933</v>
      </c>
      <c r="E44" s="54">
        <f t="shared" si="7"/>
        <v>60481.700663885145</v>
      </c>
      <c r="F44" s="54">
        <f t="shared" si="6"/>
        <v>3635.3507157607824</v>
      </c>
      <c r="G44" s="65"/>
    </row>
    <row r="45" spans="1:7" ht="14.45" customHeight="1">
      <c r="A45" s="40">
        <v>2024</v>
      </c>
      <c r="B45" s="66">
        <v>106780.645968</v>
      </c>
      <c r="C45" s="63">
        <v>4.8300000000000003E-2</v>
      </c>
      <c r="D45" s="62">
        <f t="shared" si="8"/>
        <v>1.7755520344382414</v>
      </c>
      <c r="E45" s="54">
        <f t="shared" si="7"/>
        <v>60139.406729233837</v>
      </c>
      <c r="F45" s="54">
        <f t="shared" si="6"/>
        <v>3492.4812901119603</v>
      </c>
      <c r="G45" s="65"/>
    </row>
    <row r="46" spans="1:7" ht="14.45" customHeight="1">
      <c r="A46" s="17"/>
      <c r="B46" s="32"/>
      <c r="C46" s="67"/>
      <c r="D46" s="68"/>
      <c r="E46" s="69"/>
      <c r="F46" s="69"/>
      <c r="G46" s="65"/>
    </row>
    <row r="47" spans="1:7">
      <c r="B47" s="99" t="s">
        <v>56</v>
      </c>
      <c r="C47" s="37"/>
    </row>
    <row r="48" spans="1:7" ht="43.9" customHeight="1">
      <c r="A48" s="37" t="s">
        <v>25</v>
      </c>
      <c r="B48" s="53" t="s">
        <v>2</v>
      </c>
      <c r="C48" s="70" t="s">
        <v>3</v>
      </c>
      <c r="D48" s="60" t="s">
        <v>4</v>
      </c>
      <c r="E48" s="53" t="s">
        <v>5</v>
      </c>
      <c r="F48" s="53" t="s">
        <v>84</v>
      </c>
    </row>
    <row r="49" spans="1:7">
      <c r="A49" s="40">
        <v>2014</v>
      </c>
      <c r="B49" s="55">
        <v>706.84982464999996</v>
      </c>
      <c r="C49" s="61">
        <v>6.4100000000000004E-2</v>
      </c>
      <c r="D49" s="62">
        <v>1</v>
      </c>
      <c r="E49" s="54">
        <f>B49*D49</f>
        <v>706.84982464999996</v>
      </c>
      <c r="F49" s="71">
        <f>E49/C66*1000000</f>
        <v>3111.5730413174388</v>
      </c>
    </row>
    <row r="50" spans="1:7">
      <c r="A50" s="40">
        <v>2015</v>
      </c>
      <c r="B50" s="55">
        <v>632.74173326000005</v>
      </c>
      <c r="C50" s="63">
        <v>0.1067</v>
      </c>
      <c r="D50" s="62">
        <f>D49*(C49+1)</f>
        <v>1.0641</v>
      </c>
      <c r="E50" s="54">
        <f>B50/D50</f>
        <v>594.62619421107036</v>
      </c>
      <c r="F50" s="71">
        <f t="shared" ref="F50:F59" si="9">E50/C67*1000000</f>
        <v>2596.5415651533372</v>
      </c>
    </row>
    <row r="51" spans="1:7">
      <c r="A51" s="40">
        <v>2016</v>
      </c>
      <c r="B51" s="55">
        <v>511.87078924999997</v>
      </c>
      <c r="C51" s="63">
        <v>6.2899999999999998E-2</v>
      </c>
      <c r="D51" s="62">
        <f>D50*(C50+1)</f>
        <v>1.1776394700000001</v>
      </c>
      <c r="E51" s="54">
        <f t="shared" ref="E51:E58" si="10">B51/D51</f>
        <v>434.6583163096596</v>
      </c>
      <c r="F51" s="71">
        <f t="shared" si="9"/>
        <v>1883.3825115460193</v>
      </c>
    </row>
    <row r="52" spans="1:7">
      <c r="A52" s="40">
        <v>2017</v>
      </c>
      <c r="B52" s="55">
        <v>498.36141068000001</v>
      </c>
      <c r="C52" s="63">
        <v>2.9499999999999998E-2</v>
      </c>
      <c r="D52" s="62">
        <f t="shared" ref="D52:D59" si="11">D51*(C51+1)</f>
        <v>1.2517129926630002</v>
      </c>
      <c r="E52" s="54">
        <f t="shared" si="10"/>
        <v>398.14351500797619</v>
      </c>
      <c r="F52" s="71">
        <f t="shared" si="9"/>
        <v>1713.2263096636582</v>
      </c>
    </row>
    <row r="53" spans="1:7">
      <c r="A53" s="40">
        <v>2018</v>
      </c>
      <c r="B53" s="55">
        <v>562.74227026999995</v>
      </c>
      <c r="C53" s="63">
        <v>3.7499999999999999E-2</v>
      </c>
      <c r="D53" s="62">
        <f t="shared" si="11"/>
        <v>1.2886385259465587</v>
      </c>
      <c r="E53" s="54">
        <f t="shared" si="10"/>
        <v>436.69520888849905</v>
      </c>
      <c r="F53" s="71">
        <f t="shared" si="9"/>
        <v>1829.5113382705924</v>
      </c>
    </row>
    <row r="54" spans="1:7">
      <c r="A54" s="40">
        <v>2019</v>
      </c>
      <c r="B54" s="55">
        <v>750.42586169000003</v>
      </c>
      <c r="C54" s="63">
        <v>4.3099999999999999E-2</v>
      </c>
      <c r="D54" s="62">
        <f t="shared" si="11"/>
        <v>1.3369624706695549</v>
      </c>
      <c r="E54" s="54">
        <f t="shared" si="10"/>
        <v>561.29164292411622</v>
      </c>
      <c r="F54" s="71">
        <f t="shared" si="9"/>
        <v>2332.9605428448008</v>
      </c>
    </row>
    <row r="55" spans="1:7">
      <c r="A55" s="40">
        <v>2020</v>
      </c>
      <c r="B55" s="55">
        <v>731.18157592</v>
      </c>
      <c r="C55" s="63">
        <v>4.5199999999999997E-2</v>
      </c>
      <c r="D55" s="62">
        <f t="shared" si="11"/>
        <v>1.3945855531554125</v>
      </c>
      <c r="E55" s="54">
        <f t="shared" si="10"/>
        <v>524.30026559906378</v>
      </c>
      <c r="F55" s="71">
        <f t="shared" si="9"/>
        <v>2161.6796427811305</v>
      </c>
    </row>
    <row r="56" spans="1:7">
      <c r="A56" s="40">
        <v>2021</v>
      </c>
      <c r="B56" s="55">
        <v>970.71833866999998</v>
      </c>
      <c r="C56" s="63">
        <v>0.10059999999999999</v>
      </c>
      <c r="D56" s="62">
        <f t="shared" si="11"/>
        <v>1.457620820158037</v>
      </c>
      <c r="E56" s="54">
        <f t="shared" si="10"/>
        <v>665.96080767064893</v>
      </c>
      <c r="F56" s="71">
        <f t="shared" si="9"/>
        <v>2724.7021785425213</v>
      </c>
    </row>
    <row r="57" spans="1:7">
      <c r="A57" s="40">
        <v>2022</v>
      </c>
      <c r="B57" s="55">
        <v>1015.04695377</v>
      </c>
      <c r="C57" s="63">
        <v>5.79E-2</v>
      </c>
      <c r="D57" s="62">
        <f t="shared" si="11"/>
        <v>1.6042574746659355</v>
      </c>
      <c r="E57" s="54">
        <f t="shared" si="10"/>
        <v>632.72072581826023</v>
      </c>
      <c r="F57" s="71">
        <f t="shared" si="9"/>
        <v>2821.2832285546256</v>
      </c>
      <c r="G57" s="72"/>
    </row>
    <row r="58" spans="1:7">
      <c r="A58" s="40">
        <v>2023</v>
      </c>
      <c r="B58" s="55">
        <v>956.75995580999995</v>
      </c>
      <c r="C58" s="63">
        <v>4.6199999999999998E-2</v>
      </c>
      <c r="D58" s="62">
        <f t="shared" si="11"/>
        <v>1.6971439824490933</v>
      </c>
      <c r="E58" s="54">
        <f t="shared" si="10"/>
        <v>563.74707491189452</v>
      </c>
      <c r="F58" s="71">
        <f t="shared" si="9"/>
        <v>2428.3323781278573</v>
      </c>
    </row>
    <row r="59" spans="1:7">
      <c r="A59" s="40">
        <v>2024</v>
      </c>
      <c r="B59" s="57">
        <v>1067.80645968</v>
      </c>
      <c r="C59" s="63">
        <v>4.8300000000000003E-2</v>
      </c>
      <c r="D59" s="62">
        <f t="shared" si="11"/>
        <v>1.7755520344382414</v>
      </c>
      <c r="E59" s="54">
        <f>B59/D59</f>
        <v>601.39406729233838</v>
      </c>
      <c r="F59" s="71">
        <f t="shared" si="9"/>
        <v>2505.3910485433194</v>
      </c>
    </row>
    <row r="61" spans="1:7">
      <c r="C61" s="25"/>
    </row>
    <row r="62" spans="1:7">
      <c r="A62" t="s">
        <v>8</v>
      </c>
      <c r="B62" s="36" t="s">
        <v>87</v>
      </c>
    </row>
    <row r="63" spans="1:7">
      <c r="A63" t="s">
        <v>88</v>
      </c>
      <c r="B63" s="36" t="s">
        <v>87</v>
      </c>
    </row>
    <row r="64" spans="1:7" ht="29.45" customHeight="1">
      <c r="B64" s="114" t="s">
        <v>89</v>
      </c>
      <c r="C64" s="114"/>
    </row>
    <row r="65" spans="1:6">
      <c r="A65" s="73" t="s">
        <v>25</v>
      </c>
      <c r="B65" s="95" t="s">
        <v>57</v>
      </c>
      <c r="C65" s="96" t="s">
        <v>58</v>
      </c>
      <c r="D65" s="97" t="s">
        <v>90</v>
      </c>
      <c r="E65" s="98" t="s">
        <v>91</v>
      </c>
    </row>
    <row r="66" spans="1:6">
      <c r="A66" s="50">
        <v>2014</v>
      </c>
      <c r="B66" s="50">
        <v>229887</v>
      </c>
      <c r="C66" s="50">
        <v>227168</v>
      </c>
      <c r="D66" s="50">
        <v>20734097</v>
      </c>
      <c r="E66" s="50">
        <v>16461173</v>
      </c>
    </row>
    <row r="67" spans="1:6">
      <c r="A67" s="50">
        <v>2015</v>
      </c>
      <c r="B67" s="50">
        <v>232107</v>
      </c>
      <c r="C67" s="50">
        <v>229007</v>
      </c>
      <c r="D67" s="50">
        <v>20869101</v>
      </c>
      <c r="E67" s="50">
        <v>16550024</v>
      </c>
    </row>
    <row r="68" spans="1:6">
      <c r="A68" s="50">
        <v>2016</v>
      </c>
      <c r="B68" s="50">
        <v>234221</v>
      </c>
      <c r="C68" s="50">
        <v>230786</v>
      </c>
      <c r="D68" s="50">
        <v>20997560</v>
      </c>
      <c r="E68" s="50">
        <v>16635996</v>
      </c>
    </row>
    <row r="69" spans="1:6">
      <c r="A69" s="50">
        <v>2017</v>
      </c>
      <c r="B69" s="50">
        <v>236228</v>
      </c>
      <c r="C69" s="50">
        <v>232394</v>
      </c>
      <c r="D69" s="50">
        <v>21119536</v>
      </c>
      <c r="E69" s="50">
        <v>16718956</v>
      </c>
    </row>
    <row r="70" spans="1:6">
      <c r="A70" s="50">
        <v>2018</v>
      </c>
      <c r="B70" s="50">
        <v>237286</v>
      </c>
      <c r="C70" s="50">
        <v>238695</v>
      </c>
      <c r="D70" s="50">
        <v>21040662</v>
      </c>
      <c r="E70" s="50">
        <v>17159960</v>
      </c>
    </row>
    <row r="71" spans="1:6">
      <c r="A71" s="50">
        <v>2019</v>
      </c>
      <c r="B71" s="50">
        <v>239639</v>
      </c>
      <c r="C71" s="50">
        <v>240592</v>
      </c>
      <c r="D71" s="50">
        <v>21168791</v>
      </c>
      <c r="E71" s="50">
        <v>17264943</v>
      </c>
    </row>
    <row r="72" spans="1:6">
      <c r="A72" s="50">
        <v>2020</v>
      </c>
      <c r="B72" s="50">
        <v>241835</v>
      </c>
      <c r="C72" s="50">
        <v>242543</v>
      </c>
      <c r="D72" s="50">
        <v>21292666</v>
      </c>
      <c r="E72" s="50">
        <v>17366189</v>
      </c>
    </row>
    <row r="73" spans="1:6">
      <c r="A73" s="50">
        <v>2021</v>
      </c>
      <c r="B73" s="50">
        <v>243950</v>
      </c>
      <c r="C73" s="50">
        <v>244416</v>
      </c>
      <c r="D73" s="50">
        <v>21411923</v>
      </c>
      <c r="E73" s="50">
        <v>17463349</v>
      </c>
    </row>
    <row r="74" spans="1:6">
      <c r="A74" s="50">
        <v>2022</v>
      </c>
      <c r="B74" s="50">
        <v>227397</v>
      </c>
      <c r="C74" s="50">
        <v>224267</v>
      </c>
      <c r="D74" s="50">
        <v>20538718</v>
      </c>
      <c r="E74" s="50">
        <v>16054524</v>
      </c>
    </row>
    <row r="75" spans="1:6">
      <c r="A75" s="50">
        <v>2023</v>
      </c>
      <c r="B75" s="50">
        <v>232664</v>
      </c>
      <c r="C75" s="17">
        <v>232154</v>
      </c>
      <c r="D75" s="50">
        <v>20930705</v>
      </c>
      <c r="E75" s="50">
        <v>16637102</v>
      </c>
      <c r="F75" t="s">
        <v>92</v>
      </c>
    </row>
    <row r="76" spans="1:6">
      <c r="A76" s="50">
        <v>2024</v>
      </c>
      <c r="B76" s="50">
        <v>237931</v>
      </c>
      <c r="C76" s="50">
        <v>240040</v>
      </c>
      <c r="D76" s="50">
        <v>21322691</v>
      </c>
      <c r="E76" s="50">
        <v>17219679</v>
      </c>
    </row>
    <row r="77" spans="1:6">
      <c r="B77" s="50"/>
      <c r="E77" s="50"/>
    </row>
    <row r="78" spans="1:6">
      <c r="E78" s="50"/>
    </row>
  </sheetData>
  <mergeCells count="1">
    <mergeCell ref="B64:C64"/>
  </mergeCells>
  <hyperlinks>
    <hyperlink ref="B62" r:id="rId1" display="https://ftp.ibge.gov.br/Estimativas_de_Populacao/" xr:uid="{8B5A9686-CBA4-4359-BE26-F91E065E18FC}"/>
    <hyperlink ref="B2" r:id="rId2" xr:uid="{80D86C2E-5019-467E-A612-D08D0FE9A8EE}"/>
    <hyperlink ref="B63" r:id="rId3" display="https://ftp.ibge.gov.br/Censos/Censo_Demografico_2022/" xr:uid="{3E81E8AA-ECAF-4A1A-BC34-CCD2AF80679F}"/>
    <hyperlink ref="C2" r:id="rId4" xr:uid="{EB0CEC38-013E-43E2-B88F-81252D938789}"/>
  </hyperlinks>
  <pageMargins left="0.511811024" right="0.511811024" top="0.78740157499999996" bottom="0.78740157499999996" header="0.31496062000000002" footer="0.31496062000000002"/>
  <pageSetup paperSize="9" orientation="portrait"/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74B5A-24F7-40C4-B785-6DFC42061973}">
  <dimension ref="A1:S23"/>
  <sheetViews>
    <sheetView topLeftCell="A16" workbookViewId="0">
      <selection activeCell="Q5" sqref="Q5"/>
    </sheetView>
  </sheetViews>
  <sheetFormatPr defaultRowHeight="15"/>
  <sheetData>
    <row r="1" spans="1:19" ht="15" customHeight="1">
      <c r="A1" s="115" t="s">
        <v>93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02"/>
      <c r="Q1" s="102"/>
      <c r="R1" s="102"/>
      <c r="S1" s="102"/>
    </row>
    <row r="2" spans="1:19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02"/>
      <c r="Q2" s="102"/>
      <c r="R2" s="102"/>
      <c r="S2" s="102"/>
    </row>
    <row r="3" spans="1:19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02"/>
      <c r="Q3" s="102"/>
      <c r="R3" s="102"/>
      <c r="S3" s="102"/>
    </row>
    <row r="4" spans="1:19">
      <c r="A4" s="115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02"/>
      <c r="Q4" s="102"/>
      <c r="R4" s="102"/>
      <c r="S4" s="102"/>
    </row>
    <row r="5" spans="1:19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02"/>
      <c r="Q5" s="102"/>
      <c r="R5" s="102"/>
      <c r="S5" s="102"/>
    </row>
    <row r="6" spans="1:19">
      <c r="A6" s="115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02"/>
      <c r="Q6" s="102"/>
      <c r="R6" s="102"/>
      <c r="S6" s="102"/>
    </row>
    <row r="7" spans="1:19">
      <c r="A7" s="115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02"/>
      <c r="Q7" s="102"/>
      <c r="R7" s="102"/>
      <c r="S7" s="102"/>
    </row>
    <row r="8" spans="1:19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02"/>
      <c r="Q8" s="102"/>
      <c r="R8" s="102"/>
      <c r="S8" s="102"/>
    </row>
    <row r="9" spans="1:19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02"/>
      <c r="Q9" s="102"/>
      <c r="R9" s="102"/>
      <c r="S9" s="102"/>
    </row>
    <row r="10" spans="1:19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02"/>
      <c r="Q10" s="102"/>
      <c r="R10" s="102"/>
      <c r="S10" s="102"/>
    </row>
    <row r="11" spans="1:19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02"/>
      <c r="Q11" s="102"/>
      <c r="R11" s="102"/>
      <c r="S11" s="102"/>
    </row>
    <row r="12" spans="1:19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02"/>
      <c r="Q12" s="102"/>
      <c r="R12" s="102"/>
      <c r="S12" s="102"/>
    </row>
    <row r="13" spans="1:19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02"/>
      <c r="Q13" s="102"/>
      <c r="R13" s="102"/>
      <c r="S13" s="102"/>
    </row>
    <row r="14" spans="1:19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02"/>
      <c r="Q14" s="102"/>
      <c r="R14" s="102"/>
      <c r="S14" s="102"/>
    </row>
    <row r="15" spans="1:19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02"/>
      <c r="Q15" s="102"/>
      <c r="R15" s="102"/>
      <c r="S15" s="102"/>
    </row>
    <row r="16" spans="1:19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02"/>
      <c r="Q16" s="102"/>
      <c r="R16" s="102"/>
      <c r="S16" s="102"/>
    </row>
    <row r="17" spans="1:19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02"/>
      <c r="Q17" s="102"/>
      <c r="R17" s="102"/>
      <c r="S17" s="102"/>
    </row>
    <row r="18" spans="1:19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02"/>
      <c r="Q18" s="102"/>
      <c r="R18" s="102"/>
      <c r="S18" s="102"/>
    </row>
    <row r="19" spans="1:19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02"/>
      <c r="Q19" s="102"/>
      <c r="R19" s="102"/>
      <c r="S19" s="102"/>
    </row>
    <row r="20" spans="1:19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</row>
    <row r="21" spans="1:19">
      <c r="A21" s="102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</row>
    <row r="22" spans="1:19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</row>
    <row r="23" spans="1:19">
      <c r="A23" s="102"/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</row>
  </sheetData>
  <mergeCells count="1">
    <mergeCell ref="A1:O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BA6B-993F-49D4-9FB7-824C02ED3D66}">
  <sheetPr>
    <tabColor rgb="FFFFFF00"/>
  </sheetPr>
  <dimension ref="A1:B15"/>
  <sheetViews>
    <sheetView workbookViewId="0">
      <selection activeCell="D11" sqref="D11"/>
    </sheetView>
  </sheetViews>
  <sheetFormatPr defaultRowHeight="15"/>
  <cols>
    <col min="1" max="1" width="27.42578125" customWidth="1"/>
    <col min="2" max="2" width="83.28515625" customWidth="1"/>
  </cols>
  <sheetData>
    <row r="1" spans="1:2">
      <c r="A1" s="116" t="s">
        <v>94</v>
      </c>
      <c r="B1" s="116"/>
    </row>
    <row r="2" spans="1:2">
      <c r="A2" s="117" t="s">
        <v>95</v>
      </c>
      <c r="B2" s="117"/>
    </row>
    <row r="3" spans="1:2">
      <c r="A3" s="34" t="s">
        <v>96</v>
      </c>
      <c r="B3" s="34" t="s">
        <v>97</v>
      </c>
    </row>
    <row r="4" spans="1:2">
      <c r="A4" s="4" t="s">
        <v>98</v>
      </c>
      <c r="B4" s="22" t="s">
        <v>99</v>
      </c>
    </row>
    <row r="5" spans="1:2">
      <c r="A5" s="4" t="s">
        <v>100</v>
      </c>
      <c r="B5" s="22" t="s">
        <v>101</v>
      </c>
    </row>
    <row r="6" spans="1:2">
      <c r="A6" s="4" t="s">
        <v>102</v>
      </c>
      <c r="B6" s="22" t="s">
        <v>99</v>
      </c>
    </row>
    <row r="7" spans="1:2">
      <c r="A7" s="3" t="s">
        <v>103</v>
      </c>
      <c r="B7" s="22" t="s">
        <v>104</v>
      </c>
    </row>
    <row r="8" spans="1:2">
      <c r="A8" s="3" t="s">
        <v>105</v>
      </c>
      <c r="B8" s="22" t="s">
        <v>106</v>
      </c>
    </row>
    <row r="9" spans="1:2">
      <c r="A9" s="3" t="s">
        <v>107</v>
      </c>
      <c r="B9" s="22" t="s">
        <v>69</v>
      </c>
    </row>
    <row r="10" spans="1:2">
      <c r="A10" s="3" t="s">
        <v>65</v>
      </c>
      <c r="B10" s="22" t="s">
        <v>67</v>
      </c>
    </row>
    <row r="11" spans="1:2">
      <c r="A11" s="3" t="s">
        <v>108</v>
      </c>
      <c r="B11" s="22" t="s">
        <v>69</v>
      </c>
    </row>
    <row r="12" spans="1:2">
      <c r="A12" s="117" t="s">
        <v>27</v>
      </c>
      <c r="B12" s="118"/>
    </row>
    <row r="13" spans="1:2">
      <c r="A13" s="92" t="s">
        <v>18</v>
      </c>
      <c r="B13" s="23" t="s">
        <v>109</v>
      </c>
    </row>
    <row r="14" spans="1:2">
      <c r="A14" s="93" t="s">
        <v>8</v>
      </c>
      <c r="B14" s="23" t="s">
        <v>110</v>
      </c>
    </row>
    <row r="15" spans="1:2">
      <c r="A15" s="92" t="s">
        <v>28</v>
      </c>
      <c r="B15" s="23" t="s">
        <v>111</v>
      </c>
    </row>
  </sheetData>
  <mergeCells count="3">
    <mergeCell ref="A1:B1"/>
    <mergeCell ref="A2:B2"/>
    <mergeCell ref="A12:B12"/>
  </mergeCells>
  <hyperlinks>
    <hyperlink ref="B7" r:id="rId1" xr:uid="{51A3F792-C51E-4A99-9A9D-E444249EA179}"/>
    <hyperlink ref="B8" r:id="rId2" xr:uid="{7510AE90-7C8C-4719-B2B8-62F835D8846F}"/>
    <hyperlink ref="B5" r:id="rId3" xr:uid="{DF6D51F4-D702-4AF4-AC9B-C9C004D550FC}"/>
    <hyperlink ref="B4" r:id="rId4" xr:uid="{E64AD308-1F72-415B-A4A7-A82C28417979}"/>
    <hyperlink ref="B6" r:id="rId5" xr:uid="{CA3BEAF0-9DAA-46FF-AB30-651D9485E15B}"/>
    <hyperlink ref="B9" r:id="rId6" xr:uid="{A2DE0D16-7DE2-4F7D-B3EE-91B6B7989F8B}"/>
    <hyperlink ref="B10" r:id="rId7" xr:uid="{AC34D057-8C40-407C-A339-036560FB3D17}"/>
    <hyperlink ref="B11" r:id="rId8" xr:uid="{337908ED-051E-42CA-A245-E886027EBC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2026-05-02T15:32:10Z</dcterms:created>
  <dcterms:modified xsi:type="dcterms:W3CDTF">2026-05-08T01:08:40Z</dcterms:modified>
  <cp:category/>
  <cp:contentStatus/>
</cp:coreProperties>
</file>